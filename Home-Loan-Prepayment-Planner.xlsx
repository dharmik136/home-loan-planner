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hedule_A" sheetId="3" state="visible" r:id="rId3"/>
    <sheet xmlns:r="http://schemas.openxmlformats.org/officeDocument/2006/relationships" name="Schedule_B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Windfall What-If" sheetId="6" state="visible" r:id="rId6"/>
    <sheet xmlns:r="http://schemas.openxmlformats.org/officeDocument/2006/relationships" name="HDFC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00000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i val="1"/>
      <color rgb="00808080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2" borderId="1" pivotButton="0" quotePrefix="0" xfId="0"/>
    <xf numFmtId="2" fontId="0" fillId="2" borderId="1" pivotButton="0" quotePrefix="0" xfId="0"/>
    <xf numFmtId="1" fontId="0" fillId="2" borderId="1" pivotButton="0" quotePrefix="0" xfId="0"/>
    <xf numFmtId="165" fontId="0" fillId="2" borderId="1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0" pivotButton="0" quotePrefix="0" xfId="0"/>
    <xf numFmtId="4" fontId="0" fillId="0" borderId="1" pivotButton="0" quotePrefix="0" xfId="0"/>
    <xf numFmtId="4" fontId="0" fillId="2" borderId="1" pivotButton="0" quotePrefix="0" xfId="0"/>
    <xf numFmtId="3" fontId="0" fillId="0" borderId="1" pivotButton="0" quotePrefix="0" xfId="0"/>
    <xf numFmtId="0" fontId="2" fillId="4" borderId="0" pivotButton="0" quotePrefix="0" xfId="0"/>
    <xf numFmtId="3" fontId="0" fillId="4" borderId="1" pivotButton="0" quotePrefix="0" xfId="0"/>
    <xf numFmtId="1" fontId="0" fillId="0" borderId="1" pivotButton="0" quotePrefix="0" xfId="0"/>
    <xf numFmtId="1" fontId="0" fillId="4" borderId="1" pivotButton="0" quotePrefix="0" xfId="0"/>
    <xf numFmtId="167" fontId="0" fillId="4" borderId="1" pivotButton="0" quotePrefix="0" xfId="0"/>
    <xf numFmtId="165" fontId="0" fillId="0" borderId="1" pivotButton="0" quotePrefix="0" xfId="0"/>
    <xf numFmtId="0" fontId="0" fillId="4" borderId="0" pivotButton="0" quotePrefix="0" xfId="0"/>
    <xf numFmtId="3" fontId="0" fillId="2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HOME LOAN PREPAYMENT PLANNER</t>
        </is>
      </c>
    </row>
    <row r="2">
      <c r="A2" t="inlineStr"/>
    </row>
    <row r="3">
      <c r="A3" t="inlineStr">
        <is>
          <t>WHAT THIS DOES — answers: if I pay extra in the early years, how many years and</t>
        </is>
      </c>
    </row>
    <row r="4">
      <c r="A4" t="inlineStr">
        <is>
          <t>how much interest do I save, and which of my two loans should I attack first?</t>
        </is>
      </c>
    </row>
    <row r="5">
      <c r="A5" t="inlineStr"/>
    </row>
    <row r="6">
      <c r="A6" t="inlineStr">
        <is>
          <t>HOW TO USE:</t>
        </is>
      </c>
    </row>
    <row r="7">
      <c r="A7" t="inlineStr">
        <is>
          <t>1. Inputs tab — set each loan's outstanding, rate, tenure, start date (yellow cells).</t>
        </is>
      </c>
    </row>
    <row r="8">
      <c r="A8" t="inlineStr">
        <is>
          <t xml:space="preserve">   The EMI is computed automatically.</t>
        </is>
      </c>
    </row>
    <row r="9">
      <c r="A9" t="inlineStr">
        <is>
          <t>2. Schedule_A / Schedule_B — to test a prepayment, type the extra amount in the</t>
        </is>
      </c>
    </row>
    <row r="10">
      <c r="A10" t="inlineStr">
        <is>
          <t xml:space="preserve">   yellow PREPAY column next to the month you'd pay it. The 'Rule check' column</t>
        </is>
      </c>
    </row>
    <row r="11">
      <c r="A11" t="inlineStr">
        <is>
          <t xml:space="preserve">   warns if it breaks an HDFC rule. The loan shortens automatically (tenure reduction).</t>
        </is>
      </c>
    </row>
    <row r="12">
      <c r="A12" t="inlineStr">
        <is>
          <t>3. Summary tab — see baseline vs your plan: interest saved, months/years saved,</t>
        </is>
      </c>
    </row>
    <row r="13">
      <c r="A13" t="inlineStr">
        <is>
          <t xml:space="preserve">   new payoff date, and which loan to prepay first.</t>
        </is>
      </c>
    </row>
    <row r="14">
      <c r="A14" t="inlineStr">
        <is>
          <t>4. Windfall What-If — got a one-time lump sum? Enter the amount + month and it tells</t>
        </is>
      </c>
    </row>
    <row r="15">
      <c r="A15" t="inlineStr">
        <is>
          <t xml:space="preserve">   you which loan that lump saves the most on.</t>
        </is>
      </c>
    </row>
    <row r="16">
      <c r="A16" t="inlineStr">
        <is>
          <t>5. HDFC Rules — the real rules this model enforces.</t>
        </is>
      </c>
    </row>
    <row r="17">
      <c r="A17" t="inlineStr"/>
    </row>
    <row r="18">
      <c r="A18" t="inlineStr">
        <is>
          <t>KEY FACT: prepaying EARLY saves far more than the same amount paid later, because</t>
        </is>
      </c>
    </row>
    <row r="19">
      <c r="A19" t="inlineStr">
        <is>
          <t>early EMIs are mostly interest. Floating-rate loans have NO prepayment penalty (RBI, 2026).</t>
        </is>
      </c>
    </row>
    <row r="20">
      <c r="A20" t="inlineStr"/>
    </row>
    <row r="21">
      <c r="A21" t="inlineStr">
        <is>
          <t>Yellow = you edit.  Green = headline result.  All numbers recalculate live in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1" t="inlineStr">
        <is>
          <t>INPUTS — edit the yellow cells</t>
        </is>
      </c>
    </row>
    <row r="2">
      <c r="B2" s="2" t="inlineStr">
        <is>
          <t>Loan A</t>
        </is>
      </c>
      <c r="C2" s="2" t="inlineStr">
        <is>
          <t>Loan B</t>
        </is>
      </c>
    </row>
    <row r="3">
      <c r="A3" s="2" t="inlineStr">
        <is>
          <t>Outstanding principal (Rs)</t>
        </is>
      </c>
      <c r="B3" s="3" t="n">
        <v>3500000</v>
      </c>
      <c r="C3" s="3" t="n">
        <v>5000000</v>
      </c>
    </row>
    <row r="4">
      <c r="A4" s="2" t="inlineStr">
        <is>
          <t>Annual interest rate (%)</t>
        </is>
      </c>
      <c r="B4" s="4" t="n">
        <v>7.25</v>
      </c>
      <c r="C4" s="4" t="n">
        <v>7.5</v>
      </c>
    </row>
    <row r="5">
      <c r="A5" s="2" t="inlineStr">
        <is>
          <t>Tenure (months)</t>
        </is>
      </c>
      <c r="B5" s="5" t="n">
        <v>180</v>
      </c>
      <c r="C5" s="5" t="n">
        <v>180</v>
      </c>
    </row>
    <row r="6">
      <c r="A6" s="2" t="inlineStr">
        <is>
          <t>Full-EMI start date</t>
        </is>
      </c>
      <c r="B6" s="6" t="n">
        <v>46204</v>
      </c>
      <c r="C6" s="6" t="n">
        <v>46204</v>
      </c>
    </row>
    <row r="7">
      <c r="A7" s="2" t="inlineStr">
        <is>
          <t>Monthly EMI (auto)</t>
        </is>
      </c>
      <c r="B7" s="7">
        <f>ROUNDUP(B3*(B4/100/12)*POWER(1+B4/100/12,B5)/(POWER(1+B4/100/12,B5)-1),0)</f>
        <v/>
      </c>
      <c r="C7" s="7">
        <f>ROUNDUP(C3*(C4/100/12)*POWER(1+C4/100/12,C5)/(POWER(1+C4/100/12,C5)-1),0)</f>
        <v/>
      </c>
    </row>
    <row r="8">
      <c r="A8" s="2" t="inlineStr">
        <is>
          <t>Monthly rate (auto)</t>
        </is>
      </c>
      <c r="B8" s="8">
        <f>B4/100/12</f>
        <v/>
      </c>
      <c r="C8" s="8">
        <f>C4/100/12</f>
        <v/>
      </c>
    </row>
    <row r="9">
      <c r="A9" s="2" t="inlineStr">
        <is>
          <t>Pre-EMI interest (one-time)</t>
        </is>
      </c>
      <c r="B9" s="3" t="n">
        <v>17877</v>
      </c>
      <c r="C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AMORTIZATION SCHEDULE — Loan A</t>
        </is>
      </c>
      <c r="D1" s="9" t="inlineStr">
        <is>
          <t>(C-G: baseline, no prepayment   |   H: type any extra payment   |   J-P: your plan)</t>
        </is>
      </c>
    </row>
    <row r="2">
      <c r="A2" s="10" t="inlineStr">
        <is>
          <t>Month</t>
        </is>
      </c>
      <c r="B2" s="10" t="inlineStr">
        <is>
          <t>Date</t>
        </is>
      </c>
      <c r="C2" s="10" t="inlineStr">
        <is>
          <t>Opening</t>
        </is>
      </c>
      <c r="D2" s="10" t="inlineStr">
        <is>
          <t>Interest</t>
        </is>
      </c>
      <c r="E2" s="10" t="inlineStr">
        <is>
          <t>EMI</t>
        </is>
      </c>
      <c r="F2" s="10" t="inlineStr">
        <is>
          <t>Principal</t>
        </is>
      </c>
      <c r="G2" s="10" t="inlineStr">
        <is>
          <t>Closing</t>
        </is>
      </c>
      <c r="H2" s="10" t="inlineStr">
        <is>
          <t>PREPAY (edit)</t>
        </is>
      </c>
      <c r="I2" s="10" t="inlineStr">
        <is>
          <t>Rule check</t>
        </is>
      </c>
      <c r="J2" s="10" t="inlineStr">
        <is>
          <t>Opening</t>
        </is>
      </c>
      <c r="K2" s="10" t="inlineStr">
        <is>
          <t>Interest</t>
        </is>
      </c>
      <c r="L2" s="10" t="inlineStr">
        <is>
          <t>EMI</t>
        </is>
      </c>
      <c r="M2" s="10" t="inlineStr">
        <is>
          <t>Principal</t>
        </is>
      </c>
      <c r="N2" s="10" t="inlineStr">
        <is>
          <t>Prepay</t>
        </is>
      </c>
      <c r="O2" s="10" t="inlineStr">
        <is>
          <t>Closing</t>
        </is>
      </c>
    </row>
    <row r="3">
      <c r="A3" s="11" t="n">
        <v>1</v>
      </c>
      <c r="B3" s="12">
        <f>EDATE(Inputs!$B$6,A3-1)</f>
        <v/>
      </c>
      <c r="C3" s="13">
        <f>Inputs!$B$3</f>
        <v/>
      </c>
      <c r="D3" s="13">
        <f>IF(C3&lt;=0.005,0,ROUND(C3*Inputs!$B$8,2))</f>
        <v/>
      </c>
      <c r="E3" s="13">
        <f>IF(C3&lt;=0.005,0,MIN(Inputs!$B$7,C3+D3))</f>
        <v/>
      </c>
      <c r="F3" s="13">
        <f>E3-D3</f>
        <v/>
      </c>
      <c r="G3" s="13">
        <f>ROUND(C3-F3,2)</f>
        <v/>
      </c>
      <c r="H3" s="14" t="n">
        <v>0</v>
      </c>
      <c r="I3" s="11">
        <f>IF(H3=0,"",IF(A3&lt;2,"X not before month 2",IF(H3&lt;MAX(5000,Inputs!$B$7),"X below min",IF(H3&gt;MIN(5000000,0.75*J3),"X above max","OK"))))</f>
        <v/>
      </c>
      <c r="J3" s="13">
        <f>Inputs!$B$3</f>
        <v/>
      </c>
      <c r="K3" s="13">
        <f>IF(J3&lt;=0.005,0,ROUND(J3*Inputs!$B$8,2))</f>
        <v/>
      </c>
      <c r="L3" s="13">
        <f>IF(J3&lt;=0.005,0,MIN(Inputs!$B$7,J3+K3))</f>
        <v/>
      </c>
      <c r="M3" s="13">
        <f>L3-K3</f>
        <v/>
      </c>
      <c r="N3" s="13">
        <f>IF(J3&lt;=0.005,0,MIN(H3,J3-M3))</f>
        <v/>
      </c>
      <c r="O3" s="13">
        <f>ROUND(J3-M3-N3,2)</f>
        <v/>
      </c>
    </row>
    <row r="4">
      <c r="A4" s="11" t="n">
        <v>2</v>
      </c>
      <c r="B4" s="12">
        <f>EDATE(Inputs!$B$6,A4-1)</f>
        <v/>
      </c>
      <c r="C4" s="13">
        <f>G3</f>
        <v/>
      </c>
      <c r="D4" s="13">
        <f>IF(C4&lt;=0.005,0,ROUND(C4*Inputs!$B$8,2))</f>
        <v/>
      </c>
      <c r="E4" s="13">
        <f>IF(C4&lt;=0.005,0,MIN(Inputs!$B$7,C4+D4))</f>
        <v/>
      </c>
      <c r="F4" s="13">
        <f>E4-D4</f>
        <v/>
      </c>
      <c r="G4" s="13">
        <f>ROUND(C4-F4,2)</f>
        <v/>
      </c>
      <c r="H4" s="14" t="n">
        <v>0</v>
      </c>
      <c r="I4" s="11">
        <f>IF(H4=0,"",IF(A4&lt;2,"X not before month 2",IF(H4&lt;MAX(5000,Inputs!$B$7),"X below min",IF(H4&gt;MIN(5000000,0.75*J4),"X above max","OK"))))</f>
        <v/>
      </c>
      <c r="J4" s="13">
        <f>O3</f>
        <v/>
      </c>
      <c r="K4" s="13">
        <f>IF(J4&lt;=0.005,0,ROUND(J4*Inputs!$B$8,2))</f>
        <v/>
      </c>
      <c r="L4" s="13">
        <f>IF(J4&lt;=0.005,0,MIN(Inputs!$B$7,J4+K4))</f>
        <v/>
      </c>
      <c r="M4" s="13">
        <f>L4-K4</f>
        <v/>
      </c>
      <c r="N4" s="13">
        <f>IF(J4&lt;=0.005,0,MIN(H4,J4-M4))</f>
        <v/>
      </c>
      <c r="O4" s="13">
        <f>ROUND(J4-M4-N4,2)</f>
        <v/>
      </c>
    </row>
    <row r="5">
      <c r="A5" s="11" t="n">
        <v>3</v>
      </c>
      <c r="B5" s="12">
        <f>EDATE(Inputs!$B$6,A5-1)</f>
        <v/>
      </c>
      <c r="C5" s="13">
        <f>G4</f>
        <v/>
      </c>
      <c r="D5" s="13">
        <f>IF(C5&lt;=0.005,0,ROUND(C5*Inputs!$B$8,2))</f>
        <v/>
      </c>
      <c r="E5" s="13">
        <f>IF(C5&lt;=0.005,0,MIN(Inputs!$B$7,C5+D5))</f>
        <v/>
      </c>
      <c r="F5" s="13">
        <f>E5-D5</f>
        <v/>
      </c>
      <c r="G5" s="13">
        <f>ROUND(C5-F5,2)</f>
        <v/>
      </c>
      <c r="H5" s="14" t="n">
        <v>0</v>
      </c>
      <c r="I5" s="11">
        <f>IF(H5=0,"",IF(A5&lt;2,"X not before month 2",IF(H5&lt;MAX(5000,Inputs!$B$7),"X below min",IF(H5&gt;MIN(5000000,0.75*J5),"X above max","OK"))))</f>
        <v/>
      </c>
      <c r="J5" s="13">
        <f>O4</f>
        <v/>
      </c>
      <c r="K5" s="13">
        <f>IF(J5&lt;=0.005,0,ROUND(J5*Inputs!$B$8,2))</f>
        <v/>
      </c>
      <c r="L5" s="13">
        <f>IF(J5&lt;=0.005,0,MIN(Inputs!$B$7,J5+K5))</f>
        <v/>
      </c>
      <c r="M5" s="13">
        <f>L5-K5</f>
        <v/>
      </c>
      <c r="N5" s="13">
        <f>IF(J5&lt;=0.005,0,MIN(H5,J5-M5))</f>
        <v/>
      </c>
      <c r="O5" s="13">
        <f>ROUND(J5-M5-N5,2)</f>
        <v/>
      </c>
    </row>
    <row r="6">
      <c r="A6" s="11" t="n">
        <v>4</v>
      </c>
      <c r="B6" s="12">
        <f>EDATE(Inputs!$B$6,A6-1)</f>
        <v/>
      </c>
      <c r="C6" s="13">
        <f>G5</f>
        <v/>
      </c>
      <c r="D6" s="13">
        <f>IF(C6&lt;=0.005,0,ROUND(C6*Inputs!$B$8,2))</f>
        <v/>
      </c>
      <c r="E6" s="13">
        <f>IF(C6&lt;=0.005,0,MIN(Inputs!$B$7,C6+D6))</f>
        <v/>
      </c>
      <c r="F6" s="13">
        <f>E6-D6</f>
        <v/>
      </c>
      <c r="G6" s="13">
        <f>ROUND(C6-F6,2)</f>
        <v/>
      </c>
      <c r="H6" s="14" t="n">
        <v>0</v>
      </c>
      <c r="I6" s="11">
        <f>IF(H6=0,"",IF(A6&lt;2,"X not before month 2",IF(H6&lt;MAX(5000,Inputs!$B$7),"X below min",IF(H6&gt;MIN(5000000,0.75*J6),"X above max","OK"))))</f>
        <v/>
      </c>
      <c r="J6" s="13">
        <f>O5</f>
        <v/>
      </c>
      <c r="K6" s="13">
        <f>IF(J6&lt;=0.005,0,ROUND(J6*Inputs!$B$8,2))</f>
        <v/>
      </c>
      <c r="L6" s="13">
        <f>IF(J6&lt;=0.005,0,MIN(Inputs!$B$7,J6+K6))</f>
        <v/>
      </c>
      <c r="M6" s="13">
        <f>L6-K6</f>
        <v/>
      </c>
      <c r="N6" s="13">
        <f>IF(J6&lt;=0.005,0,MIN(H6,J6-M6))</f>
        <v/>
      </c>
      <c r="O6" s="13">
        <f>ROUND(J6-M6-N6,2)</f>
        <v/>
      </c>
    </row>
    <row r="7">
      <c r="A7" s="11" t="n">
        <v>5</v>
      </c>
      <c r="B7" s="12">
        <f>EDATE(Inputs!$B$6,A7-1)</f>
        <v/>
      </c>
      <c r="C7" s="13">
        <f>G6</f>
        <v/>
      </c>
      <c r="D7" s="13">
        <f>IF(C7&lt;=0.005,0,ROUND(C7*Inputs!$B$8,2))</f>
        <v/>
      </c>
      <c r="E7" s="13">
        <f>IF(C7&lt;=0.005,0,MIN(Inputs!$B$7,C7+D7))</f>
        <v/>
      </c>
      <c r="F7" s="13">
        <f>E7-D7</f>
        <v/>
      </c>
      <c r="G7" s="13">
        <f>ROUND(C7-F7,2)</f>
        <v/>
      </c>
      <c r="H7" s="14" t="n">
        <v>0</v>
      </c>
      <c r="I7" s="11">
        <f>IF(H7=0,"",IF(A7&lt;2,"X not before month 2",IF(H7&lt;MAX(5000,Inputs!$B$7),"X below min",IF(H7&gt;MIN(5000000,0.75*J7),"X above max","OK"))))</f>
        <v/>
      </c>
      <c r="J7" s="13">
        <f>O6</f>
        <v/>
      </c>
      <c r="K7" s="13">
        <f>IF(J7&lt;=0.005,0,ROUND(J7*Inputs!$B$8,2))</f>
        <v/>
      </c>
      <c r="L7" s="13">
        <f>IF(J7&lt;=0.005,0,MIN(Inputs!$B$7,J7+K7))</f>
        <v/>
      </c>
      <c r="M7" s="13">
        <f>L7-K7</f>
        <v/>
      </c>
      <c r="N7" s="13">
        <f>IF(J7&lt;=0.005,0,MIN(H7,J7-M7))</f>
        <v/>
      </c>
      <c r="O7" s="13">
        <f>ROUND(J7-M7-N7,2)</f>
        <v/>
      </c>
    </row>
    <row r="8">
      <c r="A8" s="11" t="n">
        <v>6</v>
      </c>
      <c r="B8" s="12">
        <f>EDATE(Inputs!$B$6,A8-1)</f>
        <v/>
      </c>
      <c r="C8" s="13">
        <f>G7</f>
        <v/>
      </c>
      <c r="D8" s="13">
        <f>IF(C8&lt;=0.005,0,ROUND(C8*Inputs!$B$8,2))</f>
        <v/>
      </c>
      <c r="E8" s="13">
        <f>IF(C8&lt;=0.005,0,MIN(Inputs!$B$7,C8+D8))</f>
        <v/>
      </c>
      <c r="F8" s="13">
        <f>E8-D8</f>
        <v/>
      </c>
      <c r="G8" s="13">
        <f>ROUND(C8-F8,2)</f>
        <v/>
      </c>
      <c r="H8" s="14" t="n">
        <v>0</v>
      </c>
      <c r="I8" s="11">
        <f>IF(H8=0,"",IF(A8&lt;2,"X not before month 2",IF(H8&lt;MAX(5000,Inputs!$B$7),"X below min",IF(H8&gt;MIN(5000000,0.75*J8),"X above max","OK"))))</f>
        <v/>
      </c>
      <c r="J8" s="13">
        <f>O7</f>
        <v/>
      </c>
      <c r="K8" s="13">
        <f>IF(J8&lt;=0.005,0,ROUND(J8*Inputs!$B$8,2))</f>
        <v/>
      </c>
      <c r="L8" s="13">
        <f>IF(J8&lt;=0.005,0,MIN(Inputs!$B$7,J8+K8))</f>
        <v/>
      </c>
      <c r="M8" s="13">
        <f>L8-K8</f>
        <v/>
      </c>
      <c r="N8" s="13">
        <f>IF(J8&lt;=0.005,0,MIN(H8,J8-M8))</f>
        <v/>
      </c>
      <c r="O8" s="13">
        <f>ROUND(J8-M8-N8,2)</f>
        <v/>
      </c>
    </row>
    <row r="9">
      <c r="A9" s="11" t="n">
        <v>7</v>
      </c>
      <c r="B9" s="12">
        <f>EDATE(Inputs!$B$6,A9-1)</f>
        <v/>
      </c>
      <c r="C9" s="13">
        <f>G8</f>
        <v/>
      </c>
      <c r="D9" s="13">
        <f>IF(C9&lt;=0.005,0,ROUND(C9*Inputs!$B$8,2))</f>
        <v/>
      </c>
      <c r="E9" s="13">
        <f>IF(C9&lt;=0.005,0,MIN(Inputs!$B$7,C9+D9))</f>
        <v/>
      </c>
      <c r="F9" s="13">
        <f>E9-D9</f>
        <v/>
      </c>
      <c r="G9" s="13">
        <f>ROUND(C9-F9,2)</f>
        <v/>
      </c>
      <c r="H9" s="14" t="n">
        <v>0</v>
      </c>
      <c r="I9" s="11">
        <f>IF(H9=0,"",IF(A9&lt;2,"X not before month 2",IF(H9&lt;MAX(5000,Inputs!$B$7),"X below min",IF(H9&gt;MIN(5000000,0.75*J9),"X above max","OK"))))</f>
        <v/>
      </c>
      <c r="J9" s="13">
        <f>O8</f>
        <v/>
      </c>
      <c r="K9" s="13">
        <f>IF(J9&lt;=0.005,0,ROUND(J9*Inputs!$B$8,2))</f>
        <v/>
      </c>
      <c r="L9" s="13">
        <f>IF(J9&lt;=0.005,0,MIN(Inputs!$B$7,J9+K9))</f>
        <v/>
      </c>
      <c r="M9" s="13">
        <f>L9-K9</f>
        <v/>
      </c>
      <c r="N9" s="13">
        <f>IF(J9&lt;=0.005,0,MIN(H9,J9-M9))</f>
        <v/>
      </c>
      <c r="O9" s="13">
        <f>ROUND(J9-M9-N9,2)</f>
        <v/>
      </c>
    </row>
    <row r="10">
      <c r="A10" s="11" t="n">
        <v>8</v>
      </c>
      <c r="B10" s="12">
        <f>EDATE(Inputs!$B$6,A10-1)</f>
        <v/>
      </c>
      <c r="C10" s="13">
        <f>G9</f>
        <v/>
      </c>
      <c r="D10" s="13">
        <f>IF(C10&lt;=0.005,0,ROUND(C10*Inputs!$B$8,2))</f>
        <v/>
      </c>
      <c r="E10" s="13">
        <f>IF(C10&lt;=0.005,0,MIN(Inputs!$B$7,C10+D10))</f>
        <v/>
      </c>
      <c r="F10" s="13">
        <f>E10-D10</f>
        <v/>
      </c>
      <c r="G10" s="13">
        <f>ROUND(C10-F10,2)</f>
        <v/>
      </c>
      <c r="H10" s="14" t="n">
        <v>0</v>
      </c>
      <c r="I10" s="11">
        <f>IF(H10=0,"",IF(A10&lt;2,"X not before month 2",IF(H10&lt;MAX(5000,Inputs!$B$7),"X below min",IF(H10&gt;MIN(5000000,0.75*J10),"X above max","OK"))))</f>
        <v/>
      </c>
      <c r="J10" s="13">
        <f>O9</f>
        <v/>
      </c>
      <c r="K10" s="13">
        <f>IF(J10&lt;=0.005,0,ROUND(J10*Inputs!$B$8,2))</f>
        <v/>
      </c>
      <c r="L10" s="13">
        <f>IF(J10&lt;=0.005,0,MIN(Inputs!$B$7,J10+K10))</f>
        <v/>
      </c>
      <c r="M10" s="13">
        <f>L10-K10</f>
        <v/>
      </c>
      <c r="N10" s="13">
        <f>IF(J10&lt;=0.005,0,MIN(H10,J10-M10))</f>
        <v/>
      </c>
      <c r="O10" s="13">
        <f>ROUND(J10-M10-N10,2)</f>
        <v/>
      </c>
    </row>
    <row r="11">
      <c r="A11" s="11" t="n">
        <v>9</v>
      </c>
      <c r="B11" s="12">
        <f>EDATE(Inputs!$B$6,A11-1)</f>
        <v/>
      </c>
      <c r="C11" s="13">
        <f>G10</f>
        <v/>
      </c>
      <c r="D11" s="13">
        <f>IF(C11&lt;=0.005,0,ROUND(C11*Inputs!$B$8,2))</f>
        <v/>
      </c>
      <c r="E11" s="13">
        <f>IF(C11&lt;=0.005,0,MIN(Inputs!$B$7,C11+D11))</f>
        <v/>
      </c>
      <c r="F11" s="13">
        <f>E11-D11</f>
        <v/>
      </c>
      <c r="G11" s="13">
        <f>ROUND(C11-F11,2)</f>
        <v/>
      </c>
      <c r="H11" s="14" t="n">
        <v>0</v>
      </c>
      <c r="I11" s="11">
        <f>IF(H11=0,"",IF(A11&lt;2,"X not before month 2",IF(H11&lt;MAX(5000,Inputs!$B$7),"X below min",IF(H11&gt;MIN(5000000,0.75*J11),"X above max","OK"))))</f>
        <v/>
      </c>
      <c r="J11" s="13">
        <f>O10</f>
        <v/>
      </c>
      <c r="K11" s="13">
        <f>IF(J11&lt;=0.005,0,ROUND(J11*Inputs!$B$8,2))</f>
        <v/>
      </c>
      <c r="L11" s="13">
        <f>IF(J11&lt;=0.005,0,MIN(Inputs!$B$7,J11+K11))</f>
        <v/>
      </c>
      <c r="M11" s="13">
        <f>L11-K11</f>
        <v/>
      </c>
      <c r="N11" s="13">
        <f>IF(J11&lt;=0.005,0,MIN(H11,J11-M11))</f>
        <v/>
      </c>
      <c r="O11" s="13">
        <f>ROUND(J11-M11-N11,2)</f>
        <v/>
      </c>
    </row>
    <row r="12">
      <c r="A12" s="11" t="n">
        <v>10</v>
      </c>
      <c r="B12" s="12">
        <f>EDATE(Inputs!$B$6,A12-1)</f>
        <v/>
      </c>
      <c r="C12" s="13">
        <f>G11</f>
        <v/>
      </c>
      <c r="D12" s="13">
        <f>IF(C12&lt;=0.005,0,ROUND(C12*Inputs!$B$8,2))</f>
        <v/>
      </c>
      <c r="E12" s="13">
        <f>IF(C12&lt;=0.005,0,MIN(Inputs!$B$7,C12+D12))</f>
        <v/>
      </c>
      <c r="F12" s="13">
        <f>E12-D12</f>
        <v/>
      </c>
      <c r="G12" s="13">
        <f>ROUND(C12-F12,2)</f>
        <v/>
      </c>
      <c r="H12" s="14" t="n">
        <v>0</v>
      </c>
      <c r="I12" s="11">
        <f>IF(H12=0,"",IF(A12&lt;2,"X not before month 2",IF(H12&lt;MAX(5000,Inputs!$B$7),"X below min",IF(H12&gt;MIN(5000000,0.75*J12),"X above max","OK"))))</f>
        <v/>
      </c>
      <c r="J12" s="13">
        <f>O11</f>
        <v/>
      </c>
      <c r="K12" s="13">
        <f>IF(J12&lt;=0.005,0,ROUND(J12*Inputs!$B$8,2))</f>
        <v/>
      </c>
      <c r="L12" s="13">
        <f>IF(J12&lt;=0.005,0,MIN(Inputs!$B$7,J12+K12))</f>
        <v/>
      </c>
      <c r="M12" s="13">
        <f>L12-K12</f>
        <v/>
      </c>
      <c r="N12" s="13">
        <f>IF(J12&lt;=0.005,0,MIN(H12,J12-M12))</f>
        <v/>
      </c>
      <c r="O12" s="13">
        <f>ROUND(J12-M12-N12,2)</f>
        <v/>
      </c>
    </row>
    <row r="13">
      <c r="A13" s="11" t="n">
        <v>11</v>
      </c>
      <c r="B13" s="12">
        <f>EDATE(Inputs!$B$6,A13-1)</f>
        <v/>
      </c>
      <c r="C13" s="13">
        <f>G12</f>
        <v/>
      </c>
      <c r="D13" s="13">
        <f>IF(C13&lt;=0.005,0,ROUND(C13*Inputs!$B$8,2))</f>
        <v/>
      </c>
      <c r="E13" s="13">
        <f>IF(C13&lt;=0.005,0,MIN(Inputs!$B$7,C13+D13))</f>
        <v/>
      </c>
      <c r="F13" s="13">
        <f>E13-D13</f>
        <v/>
      </c>
      <c r="G13" s="13">
        <f>ROUND(C13-F13,2)</f>
        <v/>
      </c>
      <c r="H13" s="14" t="n">
        <v>0</v>
      </c>
      <c r="I13" s="11">
        <f>IF(H13=0,"",IF(A13&lt;2,"X not before month 2",IF(H13&lt;MAX(5000,Inputs!$B$7),"X below min",IF(H13&gt;MIN(5000000,0.75*J13),"X above max","OK"))))</f>
        <v/>
      </c>
      <c r="J13" s="13">
        <f>O12</f>
        <v/>
      </c>
      <c r="K13" s="13">
        <f>IF(J13&lt;=0.005,0,ROUND(J13*Inputs!$B$8,2))</f>
        <v/>
      </c>
      <c r="L13" s="13">
        <f>IF(J13&lt;=0.005,0,MIN(Inputs!$B$7,J13+K13))</f>
        <v/>
      </c>
      <c r="M13" s="13">
        <f>L13-K13</f>
        <v/>
      </c>
      <c r="N13" s="13">
        <f>IF(J13&lt;=0.005,0,MIN(H13,J13-M13))</f>
        <v/>
      </c>
      <c r="O13" s="13">
        <f>ROUND(J13-M13-N13,2)</f>
        <v/>
      </c>
    </row>
    <row r="14">
      <c r="A14" s="11" t="n">
        <v>12</v>
      </c>
      <c r="B14" s="12">
        <f>EDATE(Inputs!$B$6,A14-1)</f>
        <v/>
      </c>
      <c r="C14" s="13">
        <f>G13</f>
        <v/>
      </c>
      <c r="D14" s="13">
        <f>IF(C14&lt;=0.005,0,ROUND(C14*Inputs!$B$8,2))</f>
        <v/>
      </c>
      <c r="E14" s="13">
        <f>IF(C14&lt;=0.005,0,MIN(Inputs!$B$7,C14+D14))</f>
        <v/>
      </c>
      <c r="F14" s="13">
        <f>E14-D14</f>
        <v/>
      </c>
      <c r="G14" s="13">
        <f>ROUND(C14-F14,2)</f>
        <v/>
      </c>
      <c r="H14" s="14" t="n">
        <v>0</v>
      </c>
      <c r="I14" s="11">
        <f>IF(H14=0,"",IF(A14&lt;2,"X not before month 2",IF(H14&lt;MAX(5000,Inputs!$B$7),"X below min",IF(H14&gt;MIN(5000000,0.75*J14),"X above max","OK"))))</f>
        <v/>
      </c>
      <c r="J14" s="13">
        <f>O13</f>
        <v/>
      </c>
      <c r="K14" s="13">
        <f>IF(J14&lt;=0.005,0,ROUND(J14*Inputs!$B$8,2))</f>
        <v/>
      </c>
      <c r="L14" s="13">
        <f>IF(J14&lt;=0.005,0,MIN(Inputs!$B$7,J14+K14))</f>
        <v/>
      </c>
      <c r="M14" s="13">
        <f>L14-K14</f>
        <v/>
      </c>
      <c r="N14" s="13">
        <f>IF(J14&lt;=0.005,0,MIN(H14,J14-M14))</f>
        <v/>
      </c>
      <c r="O14" s="13">
        <f>ROUND(J14-M14-N14,2)</f>
        <v/>
      </c>
    </row>
    <row r="15">
      <c r="A15" s="11" t="n">
        <v>13</v>
      </c>
      <c r="B15" s="12">
        <f>EDATE(Inputs!$B$6,A15-1)</f>
        <v/>
      </c>
      <c r="C15" s="13">
        <f>G14</f>
        <v/>
      </c>
      <c r="D15" s="13">
        <f>IF(C15&lt;=0.005,0,ROUND(C15*Inputs!$B$8,2))</f>
        <v/>
      </c>
      <c r="E15" s="13">
        <f>IF(C15&lt;=0.005,0,MIN(Inputs!$B$7,C15+D15))</f>
        <v/>
      </c>
      <c r="F15" s="13">
        <f>E15-D15</f>
        <v/>
      </c>
      <c r="G15" s="13">
        <f>ROUND(C15-F15,2)</f>
        <v/>
      </c>
      <c r="H15" s="14" t="n">
        <v>0</v>
      </c>
      <c r="I15" s="11">
        <f>IF(H15=0,"",IF(A15&lt;2,"X not before month 2",IF(H15&lt;MAX(5000,Inputs!$B$7),"X below min",IF(H15&gt;MIN(5000000,0.75*J15),"X above max","OK"))))</f>
        <v/>
      </c>
      <c r="J15" s="13">
        <f>O14</f>
        <v/>
      </c>
      <c r="K15" s="13">
        <f>IF(J15&lt;=0.005,0,ROUND(J15*Inputs!$B$8,2))</f>
        <v/>
      </c>
      <c r="L15" s="13">
        <f>IF(J15&lt;=0.005,0,MIN(Inputs!$B$7,J15+K15))</f>
        <v/>
      </c>
      <c r="M15" s="13">
        <f>L15-K15</f>
        <v/>
      </c>
      <c r="N15" s="13">
        <f>IF(J15&lt;=0.005,0,MIN(H15,J15-M15))</f>
        <v/>
      </c>
      <c r="O15" s="13">
        <f>ROUND(J15-M15-N15,2)</f>
        <v/>
      </c>
    </row>
    <row r="16">
      <c r="A16" s="11" t="n">
        <v>14</v>
      </c>
      <c r="B16" s="12">
        <f>EDATE(Inputs!$B$6,A16-1)</f>
        <v/>
      </c>
      <c r="C16" s="13">
        <f>G15</f>
        <v/>
      </c>
      <c r="D16" s="13">
        <f>IF(C16&lt;=0.005,0,ROUND(C16*Inputs!$B$8,2))</f>
        <v/>
      </c>
      <c r="E16" s="13">
        <f>IF(C16&lt;=0.005,0,MIN(Inputs!$B$7,C16+D16))</f>
        <v/>
      </c>
      <c r="F16" s="13">
        <f>E16-D16</f>
        <v/>
      </c>
      <c r="G16" s="13">
        <f>ROUND(C16-F16,2)</f>
        <v/>
      </c>
      <c r="H16" s="14" t="n">
        <v>0</v>
      </c>
      <c r="I16" s="11">
        <f>IF(H16=0,"",IF(A16&lt;2,"X not before month 2",IF(H16&lt;MAX(5000,Inputs!$B$7),"X below min",IF(H16&gt;MIN(5000000,0.75*J16),"X above max","OK"))))</f>
        <v/>
      </c>
      <c r="J16" s="13">
        <f>O15</f>
        <v/>
      </c>
      <c r="K16" s="13">
        <f>IF(J16&lt;=0.005,0,ROUND(J16*Inputs!$B$8,2))</f>
        <v/>
      </c>
      <c r="L16" s="13">
        <f>IF(J16&lt;=0.005,0,MIN(Inputs!$B$7,J16+K16))</f>
        <v/>
      </c>
      <c r="M16" s="13">
        <f>L16-K16</f>
        <v/>
      </c>
      <c r="N16" s="13">
        <f>IF(J16&lt;=0.005,0,MIN(H16,J16-M16))</f>
        <v/>
      </c>
      <c r="O16" s="13">
        <f>ROUND(J16-M16-N16,2)</f>
        <v/>
      </c>
    </row>
    <row r="17">
      <c r="A17" s="11" t="n">
        <v>15</v>
      </c>
      <c r="B17" s="12">
        <f>EDATE(Inputs!$B$6,A17-1)</f>
        <v/>
      </c>
      <c r="C17" s="13">
        <f>G16</f>
        <v/>
      </c>
      <c r="D17" s="13">
        <f>IF(C17&lt;=0.005,0,ROUND(C17*Inputs!$B$8,2))</f>
        <v/>
      </c>
      <c r="E17" s="13">
        <f>IF(C17&lt;=0.005,0,MIN(Inputs!$B$7,C17+D17))</f>
        <v/>
      </c>
      <c r="F17" s="13">
        <f>E17-D17</f>
        <v/>
      </c>
      <c r="G17" s="13">
        <f>ROUND(C17-F17,2)</f>
        <v/>
      </c>
      <c r="H17" s="14" t="n">
        <v>0</v>
      </c>
      <c r="I17" s="11">
        <f>IF(H17=0,"",IF(A17&lt;2,"X not before month 2",IF(H17&lt;MAX(5000,Inputs!$B$7),"X below min",IF(H17&gt;MIN(5000000,0.75*J17),"X above max","OK"))))</f>
        <v/>
      </c>
      <c r="J17" s="13">
        <f>O16</f>
        <v/>
      </c>
      <c r="K17" s="13">
        <f>IF(J17&lt;=0.005,0,ROUND(J17*Inputs!$B$8,2))</f>
        <v/>
      </c>
      <c r="L17" s="13">
        <f>IF(J17&lt;=0.005,0,MIN(Inputs!$B$7,J17+K17))</f>
        <v/>
      </c>
      <c r="M17" s="13">
        <f>L17-K17</f>
        <v/>
      </c>
      <c r="N17" s="13">
        <f>IF(J17&lt;=0.005,0,MIN(H17,J17-M17))</f>
        <v/>
      </c>
      <c r="O17" s="13">
        <f>ROUND(J17-M17-N17,2)</f>
        <v/>
      </c>
    </row>
    <row r="18">
      <c r="A18" s="11" t="n">
        <v>16</v>
      </c>
      <c r="B18" s="12">
        <f>EDATE(Inputs!$B$6,A18-1)</f>
        <v/>
      </c>
      <c r="C18" s="13">
        <f>G17</f>
        <v/>
      </c>
      <c r="D18" s="13">
        <f>IF(C18&lt;=0.005,0,ROUND(C18*Inputs!$B$8,2))</f>
        <v/>
      </c>
      <c r="E18" s="13">
        <f>IF(C18&lt;=0.005,0,MIN(Inputs!$B$7,C18+D18))</f>
        <v/>
      </c>
      <c r="F18" s="13">
        <f>E18-D18</f>
        <v/>
      </c>
      <c r="G18" s="13">
        <f>ROUND(C18-F18,2)</f>
        <v/>
      </c>
      <c r="H18" s="14" t="n">
        <v>0</v>
      </c>
      <c r="I18" s="11">
        <f>IF(H18=0,"",IF(A18&lt;2,"X not before month 2",IF(H18&lt;MAX(5000,Inputs!$B$7),"X below min",IF(H18&gt;MIN(5000000,0.75*J18),"X above max","OK"))))</f>
        <v/>
      </c>
      <c r="J18" s="13">
        <f>O17</f>
        <v/>
      </c>
      <c r="K18" s="13">
        <f>IF(J18&lt;=0.005,0,ROUND(J18*Inputs!$B$8,2))</f>
        <v/>
      </c>
      <c r="L18" s="13">
        <f>IF(J18&lt;=0.005,0,MIN(Inputs!$B$7,J18+K18))</f>
        <v/>
      </c>
      <c r="M18" s="13">
        <f>L18-K18</f>
        <v/>
      </c>
      <c r="N18" s="13">
        <f>IF(J18&lt;=0.005,0,MIN(H18,J18-M18))</f>
        <v/>
      </c>
      <c r="O18" s="13">
        <f>ROUND(J18-M18-N18,2)</f>
        <v/>
      </c>
    </row>
    <row r="19">
      <c r="A19" s="11" t="n">
        <v>17</v>
      </c>
      <c r="B19" s="12">
        <f>EDATE(Inputs!$B$6,A19-1)</f>
        <v/>
      </c>
      <c r="C19" s="13">
        <f>G18</f>
        <v/>
      </c>
      <c r="D19" s="13">
        <f>IF(C19&lt;=0.005,0,ROUND(C19*Inputs!$B$8,2))</f>
        <v/>
      </c>
      <c r="E19" s="13">
        <f>IF(C19&lt;=0.005,0,MIN(Inputs!$B$7,C19+D19))</f>
        <v/>
      </c>
      <c r="F19" s="13">
        <f>E19-D19</f>
        <v/>
      </c>
      <c r="G19" s="13">
        <f>ROUND(C19-F19,2)</f>
        <v/>
      </c>
      <c r="H19" s="14" t="n">
        <v>0</v>
      </c>
      <c r="I19" s="11">
        <f>IF(H19=0,"",IF(A19&lt;2,"X not before month 2",IF(H19&lt;MAX(5000,Inputs!$B$7),"X below min",IF(H19&gt;MIN(5000000,0.75*J19),"X above max","OK"))))</f>
        <v/>
      </c>
      <c r="J19" s="13">
        <f>O18</f>
        <v/>
      </c>
      <c r="K19" s="13">
        <f>IF(J19&lt;=0.005,0,ROUND(J19*Inputs!$B$8,2))</f>
        <v/>
      </c>
      <c r="L19" s="13">
        <f>IF(J19&lt;=0.005,0,MIN(Inputs!$B$7,J19+K19))</f>
        <v/>
      </c>
      <c r="M19" s="13">
        <f>L19-K19</f>
        <v/>
      </c>
      <c r="N19" s="13">
        <f>IF(J19&lt;=0.005,0,MIN(H19,J19-M19))</f>
        <v/>
      </c>
      <c r="O19" s="13">
        <f>ROUND(J19-M19-N19,2)</f>
        <v/>
      </c>
    </row>
    <row r="20">
      <c r="A20" s="11" t="n">
        <v>18</v>
      </c>
      <c r="B20" s="12">
        <f>EDATE(Inputs!$B$6,A20-1)</f>
        <v/>
      </c>
      <c r="C20" s="13">
        <f>G19</f>
        <v/>
      </c>
      <c r="D20" s="13">
        <f>IF(C20&lt;=0.005,0,ROUND(C20*Inputs!$B$8,2))</f>
        <v/>
      </c>
      <c r="E20" s="13">
        <f>IF(C20&lt;=0.005,0,MIN(Inputs!$B$7,C20+D20))</f>
        <v/>
      </c>
      <c r="F20" s="13">
        <f>E20-D20</f>
        <v/>
      </c>
      <c r="G20" s="13">
        <f>ROUND(C20-F20,2)</f>
        <v/>
      </c>
      <c r="H20" s="14" t="n">
        <v>0</v>
      </c>
      <c r="I20" s="11">
        <f>IF(H20=0,"",IF(A20&lt;2,"X not before month 2",IF(H20&lt;MAX(5000,Inputs!$B$7),"X below min",IF(H20&gt;MIN(5000000,0.75*J20),"X above max","OK"))))</f>
        <v/>
      </c>
      <c r="J20" s="13">
        <f>O19</f>
        <v/>
      </c>
      <c r="K20" s="13">
        <f>IF(J20&lt;=0.005,0,ROUND(J20*Inputs!$B$8,2))</f>
        <v/>
      </c>
      <c r="L20" s="13">
        <f>IF(J20&lt;=0.005,0,MIN(Inputs!$B$7,J20+K20))</f>
        <v/>
      </c>
      <c r="M20" s="13">
        <f>L20-K20</f>
        <v/>
      </c>
      <c r="N20" s="13">
        <f>IF(J20&lt;=0.005,0,MIN(H20,J20-M20))</f>
        <v/>
      </c>
      <c r="O20" s="13">
        <f>ROUND(J20-M20-N20,2)</f>
        <v/>
      </c>
    </row>
    <row r="21">
      <c r="A21" s="11" t="n">
        <v>19</v>
      </c>
      <c r="B21" s="12">
        <f>EDATE(Inputs!$B$6,A21-1)</f>
        <v/>
      </c>
      <c r="C21" s="13">
        <f>G20</f>
        <v/>
      </c>
      <c r="D21" s="13">
        <f>IF(C21&lt;=0.005,0,ROUND(C21*Inputs!$B$8,2))</f>
        <v/>
      </c>
      <c r="E21" s="13">
        <f>IF(C21&lt;=0.005,0,MIN(Inputs!$B$7,C21+D21))</f>
        <v/>
      </c>
      <c r="F21" s="13">
        <f>E21-D21</f>
        <v/>
      </c>
      <c r="G21" s="13">
        <f>ROUND(C21-F21,2)</f>
        <v/>
      </c>
      <c r="H21" s="14" t="n">
        <v>0</v>
      </c>
      <c r="I21" s="11">
        <f>IF(H21=0,"",IF(A21&lt;2,"X not before month 2",IF(H21&lt;MAX(5000,Inputs!$B$7),"X below min",IF(H21&gt;MIN(5000000,0.75*J21),"X above max","OK"))))</f>
        <v/>
      </c>
      <c r="J21" s="13">
        <f>O20</f>
        <v/>
      </c>
      <c r="K21" s="13">
        <f>IF(J21&lt;=0.005,0,ROUND(J21*Inputs!$B$8,2))</f>
        <v/>
      </c>
      <c r="L21" s="13">
        <f>IF(J21&lt;=0.005,0,MIN(Inputs!$B$7,J21+K21))</f>
        <v/>
      </c>
      <c r="M21" s="13">
        <f>L21-K21</f>
        <v/>
      </c>
      <c r="N21" s="13">
        <f>IF(J21&lt;=0.005,0,MIN(H21,J21-M21))</f>
        <v/>
      </c>
      <c r="O21" s="13">
        <f>ROUND(J21-M21-N21,2)</f>
        <v/>
      </c>
    </row>
    <row r="22">
      <c r="A22" s="11" t="n">
        <v>20</v>
      </c>
      <c r="B22" s="12">
        <f>EDATE(Inputs!$B$6,A22-1)</f>
        <v/>
      </c>
      <c r="C22" s="13">
        <f>G21</f>
        <v/>
      </c>
      <c r="D22" s="13">
        <f>IF(C22&lt;=0.005,0,ROUND(C22*Inputs!$B$8,2))</f>
        <v/>
      </c>
      <c r="E22" s="13">
        <f>IF(C22&lt;=0.005,0,MIN(Inputs!$B$7,C22+D22))</f>
        <v/>
      </c>
      <c r="F22" s="13">
        <f>E22-D22</f>
        <v/>
      </c>
      <c r="G22" s="13">
        <f>ROUND(C22-F22,2)</f>
        <v/>
      </c>
      <c r="H22" s="14" t="n">
        <v>0</v>
      </c>
      <c r="I22" s="11">
        <f>IF(H22=0,"",IF(A22&lt;2,"X not before month 2",IF(H22&lt;MAX(5000,Inputs!$B$7),"X below min",IF(H22&gt;MIN(5000000,0.75*J22),"X above max","OK"))))</f>
        <v/>
      </c>
      <c r="J22" s="13">
        <f>O21</f>
        <v/>
      </c>
      <c r="K22" s="13">
        <f>IF(J22&lt;=0.005,0,ROUND(J22*Inputs!$B$8,2))</f>
        <v/>
      </c>
      <c r="L22" s="13">
        <f>IF(J22&lt;=0.005,0,MIN(Inputs!$B$7,J22+K22))</f>
        <v/>
      </c>
      <c r="M22" s="13">
        <f>L22-K22</f>
        <v/>
      </c>
      <c r="N22" s="13">
        <f>IF(J22&lt;=0.005,0,MIN(H22,J22-M22))</f>
        <v/>
      </c>
      <c r="O22" s="13">
        <f>ROUND(J22-M22-N22,2)</f>
        <v/>
      </c>
    </row>
    <row r="23">
      <c r="A23" s="11" t="n">
        <v>21</v>
      </c>
      <c r="B23" s="12">
        <f>EDATE(Inputs!$B$6,A23-1)</f>
        <v/>
      </c>
      <c r="C23" s="13">
        <f>G22</f>
        <v/>
      </c>
      <c r="D23" s="13">
        <f>IF(C23&lt;=0.005,0,ROUND(C23*Inputs!$B$8,2))</f>
        <v/>
      </c>
      <c r="E23" s="13">
        <f>IF(C23&lt;=0.005,0,MIN(Inputs!$B$7,C23+D23))</f>
        <v/>
      </c>
      <c r="F23" s="13">
        <f>E23-D23</f>
        <v/>
      </c>
      <c r="G23" s="13">
        <f>ROUND(C23-F23,2)</f>
        <v/>
      </c>
      <c r="H23" s="14" t="n">
        <v>0</v>
      </c>
      <c r="I23" s="11">
        <f>IF(H23=0,"",IF(A23&lt;2,"X not before month 2",IF(H23&lt;MAX(5000,Inputs!$B$7),"X below min",IF(H23&gt;MIN(5000000,0.75*J23),"X above max","OK"))))</f>
        <v/>
      </c>
      <c r="J23" s="13">
        <f>O22</f>
        <v/>
      </c>
      <c r="K23" s="13">
        <f>IF(J23&lt;=0.005,0,ROUND(J23*Inputs!$B$8,2))</f>
        <v/>
      </c>
      <c r="L23" s="13">
        <f>IF(J23&lt;=0.005,0,MIN(Inputs!$B$7,J23+K23))</f>
        <v/>
      </c>
      <c r="M23" s="13">
        <f>L23-K23</f>
        <v/>
      </c>
      <c r="N23" s="13">
        <f>IF(J23&lt;=0.005,0,MIN(H23,J23-M23))</f>
        <v/>
      </c>
      <c r="O23" s="13">
        <f>ROUND(J23-M23-N23,2)</f>
        <v/>
      </c>
    </row>
    <row r="24">
      <c r="A24" s="11" t="n">
        <v>22</v>
      </c>
      <c r="B24" s="12">
        <f>EDATE(Inputs!$B$6,A24-1)</f>
        <v/>
      </c>
      <c r="C24" s="13">
        <f>G23</f>
        <v/>
      </c>
      <c r="D24" s="13">
        <f>IF(C24&lt;=0.005,0,ROUND(C24*Inputs!$B$8,2))</f>
        <v/>
      </c>
      <c r="E24" s="13">
        <f>IF(C24&lt;=0.005,0,MIN(Inputs!$B$7,C24+D24))</f>
        <v/>
      </c>
      <c r="F24" s="13">
        <f>E24-D24</f>
        <v/>
      </c>
      <c r="G24" s="13">
        <f>ROUND(C24-F24,2)</f>
        <v/>
      </c>
      <c r="H24" s="14" t="n">
        <v>0</v>
      </c>
      <c r="I24" s="11">
        <f>IF(H24=0,"",IF(A24&lt;2,"X not before month 2",IF(H24&lt;MAX(5000,Inputs!$B$7),"X below min",IF(H24&gt;MIN(5000000,0.75*J24),"X above max","OK"))))</f>
        <v/>
      </c>
      <c r="J24" s="13">
        <f>O23</f>
        <v/>
      </c>
      <c r="K24" s="13">
        <f>IF(J24&lt;=0.005,0,ROUND(J24*Inputs!$B$8,2))</f>
        <v/>
      </c>
      <c r="L24" s="13">
        <f>IF(J24&lt;=0.005,0,MIN(Inputs!$B$7,J24+K24))</f>
        <v/>
      </c>
      <c r="M24" s="13">
        <f>L24-K24</f>
        <v/>
      </c>
      <c r="N24" s="13">
        <f>IF(J24&lt;=0.005,0,MIN(H24,J24-M24))</f>
        <v/>
      </c>
      <c r="O24" s="13">
        <f>ROUND(J24-M24-N24,2)</f>
        <v/>
      </c>
    </row>
    <row r="25">
      <c r="A25" s="11" t="n">
        <v>23</v>
      </c>
      <c r="B25" s="12">
        <f>EDATE(Inputs!$B$6,A25-1)</f>
        <v/>
      </c>
      <c r="C25" s="13">
        <f>G24</f>
        <v/>
      </c>
      <c r="D25" s="13">
        <f>IF(C25&lt;=0.005,0,ROUND(C25*Inputs!$B$8,2))</f>
        <v/>
      </c>
      <c r="E25" s="13">
        <f>IF(C25&lt;=0.005,0,MIN(Inputs!$B$7,C25+D25))</f>
        <v/>
      </c>
      <c r="F25" s="13">
        <f>E25-D25</f>
        <v/>
      </c>
      <c r="G25" s="13">
        <f>ROUND(C25-F25,2)</f>
        <v/>
      </c>
      <c r="H25" s="14" t="n">
        <v>0</v>
      </c>
      <c r="I25" s="11">
        <f>IF(H25=0,"",IF(A25&lt;2,"X not before month 2",IF(H25&lt;MAX(5000,Inputs!$B$7),"X below min",IF(H25&gt;MIN(5000000,0.75*J25),"X above max","OK"))))</f>
        <v/>
      </c>
      <c r="J25" s="13">
        <f>O24</f>
        <v/>
      </c>
      <c r="K25" s="13">
        <f>IF(J25&lt;=0.005,0,ROUND(J25*Inputs!$B$8,2))</f>
        <v/>
      </c>
      <c r="L25" s="13">
        <f>IF(J25&lt;=0.005,0,MIN(Inputs!$B$7,J25+K25))</f>
        <v/>
      </c>
      <c r="M25" s="13">
        <f>L25-K25</f>
        <v/>
      </c>
      <c r="N25" s="13">
        <f>IF(J25&lt;=0.005,0,MIN(H25,J25-M25))</f>
        <v/>
      </c>
      <c r="O25" s="13">
        <f>ROUND(J25-M25-N25,2)</f>
        <v/>
      </c>
    </row>
    <row r="26">
      <c r="A26" s="11" t="n">
        <v>24</v>
      </c>
      <c r="B26" s="12">
        <f>EDATE(Inputs!$B$6,A26-1)</f>
        <v/>
      </c>
      <c r="C26" s="13">
        <f>G25</f>
        <v/>
      </c>
      <c r="D26" s="13">
        <f>IF(C26&lt;=0.005,0,ROUND(C26*Inputs!$B$8,2))</f>
        <v/>
      </c>
      <c r="E26" s="13">
        <f>IF(C26&lt;=0.005,0,MIN(Inputs!$B$7,C26+D26))</f>
        <v/>
      </c>
      <c r="F26" s="13">
        <f>E26-D26</f>
        <v/>
      </c>
      <c r="G26" s="13">
        <f>ROUND(C26-F26,2)</f>
        <v/>
      </c>
      <c r="H26" s="14" t="n">
        <v>0</v>
      </c>
      <c r="I26" s="11">
        <f>IF(H26=0,"",IF(A26&lt;2,"X not before month 2",IF(H26&lt;MAX(5000,Inputs!$B$7),"X below min",IF(H26&gt;MIN(5000000,0.75*J26),"X above max","OK"))))</f>
        <v/>
      </c>
      <c r="J26" s="13">
        <f>O25</f>
        <v/>
      </c>
      <c r="K26" s="13">
        <f>IF(J26&lt;=0.005,0,ROUND(J26*Inputs!$B$8,2))</f>
        <v/>
      </c>
      <c r="L26" s="13">
        <f>IF(J26&lt;=0.005,0,MIN(Inputs!$B$7,J26+K26))</f>
        <v/>
      </c>
      <c r="M26" s="13">
        <f>L26-K26</f>
        <v/>
      </c>
      <c r="N26" s="13">
        <f>IF(J26&lt;=0.005,0,MIN(H26,J26-M26))</f>
        <v/>
      </c>
      <c r="O26" s="13">
        <f>ROUND(J26-M26-N26,2)</f>
        <v/>
      </c>
    </row>
    <row r="27">
      <c r="A27" s="11" t="n">
        <v>25</v>
      </c>
      <c r="B27" s="12">
        <f>EDATE(Inputs!$B$6,A27-1)</f>
        <v/>
      </c>
      <c r="C27" s="13">
        <f>G26</f>
        <v/>
      </c>
      <c r="D27" s="13">
        <f>IF(C27&lt;=0.005,0,ROUND(C27*Inputs!$B$8,2))</f>
        <v/>
      </c>
      <c r="E27" s="13">
        <f>IF(C27&lt;=0.005,0,MIN(Inputs!$B$7,C27+D27))</f>
        <v/>
      </c>
      <c r="F27" s="13">
        <f>E27-D27</f>
        <v/>
      </c>
      <c r="G27" s="13">
        <f>ROUND(C27-F27,2)</f>
        <v/>
      </c>
      <c r="H27" s="14" t="n">
        <v>0</v>
      </c>
      <c r="I27" s="11">
        <f>IF(H27=0,"",IF(A27&lt;2,"X not before month 2",IF(H27&lt;MAX(5000,Inputs!$B$7),"X below min",IF(H27&gt;MIN(5000000,0.75*J27),"X above max","OK"))))</f>
        <v/>
      </c>
      <c r="J27" s="13">
        <f>O26</f>
        <v/>
      </c>
      <c r="K27" s="13">
        <f>IF(J27&lt;=0.005,0,ROUND(J27*Inputs!$B$8,2))</f>
        <v/>
      </c>
      <c r="L27" s="13">
        <f>IF(J27&lt;=0.005,0,MIN(Inputs!$B$7,J27+K27))</f>
        <v/>
      </c>
      <c r="M27" s="13">
        <f>L27-K27</f>
        <v/>
      </c>
      <c r="N27" s="13">
        <f>IF(J27&lt;=0.005,0,MIN(H27,J27-M27))</f>
        <v/>
      </c>
      <c r="O27" s="13">
        <f>ROUND(J27-M27-N27,2)</f>
        <v/>
      </c>
    </row>
    <row r="28">
      <c r="A28" s="11" t="n">
        <v>26</v>
      </c>
      <c r="B28" s="12">
        <f>EDATE(Inputs!$B$6,A28-1)</f>
        <v/>
      </c>
      <c r="C28" s="13">
        <f>G27</f>
        <v/>
      </c>
      <c r="D28" s="13">
        <f>IF(C28&lt;=0.005,0,ROUND(C28*Inputs!$B$8,2))</f>
        <v/>
      </c>
      <c r="E28" s="13">
        <f>IF(C28&lt;=0.005,0,MIN(Inputs!$B$7,C28+D28))</f>
        <v/>
      </c>
      <c r="F28" s="13">
        <f>E28-D28</f>
        <v/>
      </c>
      <c r="G28" s="13">
        <f>ROUND(C28-F28,2)</f>
        <v/>
      </c>
      <c r="H28" s="14" t="n">
        <v>0</v>
      </c>
      <c r="I28" s="11">
        <f>IF(H28=0,"",IF(A28&lt;2,"X not before month 2",IF(H28&lt;MAX(5000,Inputs!$B$7),"X below min",IF(H28&gt;MIN(5000000,0.75*J28),"X above max","OK"))))</f>
        <v/>
      </c>
      <c r="J28" s="13">
        <f>O27</f>
        <v/>
      </c>
      <c r="K28" s="13">
        <f>IF(J28&lt;=0.005,0,ROUND(J28*Inputs!$B$8,2))</f>
        <v/>
      </c>
      <c r="L28" s="13">
        <f>IF(J28&lt;=0.005,0,MIN(Inputs!$B$7,J28+K28))</f>
        <v/>
      </c>
      <c r="M28" s="13">
        <f>L28-K28</f>
        <v/>
      </c>
      <c r="N28" s="13">
        <f>IF(J28&lt;=0.005,0,MIN(H28,J28-M28))</f>
        <v/>
      </c>
      <c r="O28" s="13">
        <f>ROUND(J28-M28-N28,2)</f>
        <v/>
      </c>
    </row>
    <row r="29">
      <c r="A29" s="11" t="n">
        <v>27</v>
      </c>
      <c r="B29" s="12">
        <f>EDATE(Inputs!$B$6,A29-1)</f>
        <v/>
      </c>
      <c r="C29" s="13">
        <f>G28</f>
        <v/>
      </c>
      <c r="D29" s="13">
        <f>IF(C29&lt;=0.005,0,ROUND(C29*Inputs!$B$8,2))</f>
        <v/>
      </c>
      <c r="E29" s="13">
        <f>IF(C29&lt;=0.005,0,MIN(Inputs!$B$7,C29+D29))</f>
        <v/>
      </c>
      <c r="F29" s="13">
        <f>E29-D29</f>
        <v/>
      </c>
      <c r="G29" s="13">
        <f>ROUND(C29-F29,2)</f>
        <v/>
      </c>
      <c r="H29" s="14" t="n">
        <v>0</v>
      </c>
      <c r="I29" s="11">
        <f>IF(H29=0,"",IF(A29&lt;2,"X not before month 2",IF(H29&lt;MAX(5000,Inputs!$B$7),"X below min",IF(H29&gt;MIN(5000000,0.75*J29),"X above max","OK"))))</f>
        <v/>
      </c>
      <c r="J29" s="13">
        <f>O28</f>
        <v/>
      </c>
      <c r="K29" s="13">
        <f>IF(J29&lt;=0.005,0,ROUND(J29*Inputs!$B$8,2))</f>
        <v/>
      </c>
      <c r="L29" s="13">
        <f>IF(J29&lt;=0.005,0,MIN(Inputs!$B$7,J29+K29))</f>
        <v/>
      </c>
      <c r="M29" s="13">
        <f>L29-K29</f>
        <v/>
      </c>
      <c r="N29" s="13">
        <f>IF(J29&lt;=0.005,0,MIN(H29,J29-M29))</f>
        <v/>
      </c>
      <c r="O29" s="13">
        <f>ROUND(J29-M29-N29,2)</f>
        <v/>
      </c>
    </row>
    <row r="30">
      <c r="A30" s="11" t="n">
        <v>28</v>
      </c>
      <c r="B30" s="12">
        <f>EDATE(Inputs!$B$6,A30-1)</f>
        <v/>
      </c>
      <c r="C30" s="13">
        <f>G29</f>
        <v/>
      </c>
      <c r="D30" s="13">
        <f>IF(C30&lt;=0.005,0,ROUND(C30*Inputs!$B$8,2))</f>
        <v/>
      </c>
      <c r="E30" s="13">
        <f>IF(C30&lt;=0.005,0,MIN(Inputs!$B$7,C30+D30))</f>
        <v/>
      </c>
      <c r="F30" s="13">
        <f>E30-D30</f>
        <v/>
      </c>
      <c r="G30" s="13">
        <f>ROUND(C30-F30,2)</f>
        <v/>
      </c>
      <c r="H30" s="14" t="n">
        <v>0</v>
      </c>
      <c r="I30" s="11">
        <f>IF(H30=0,"",IF(A30&lt;2,"X not before month 2",IF(H30&lt;MAX(5000,Inputs!$B$7),"X below min",IF(H30&gt;MIN(5000000,0.75*J30),"X above max","OK"))))</f>
        <v/>
      </c>
      <c r="J30" s="13">
        <f>O29</f>
        <v/>
      </c>
      <c r="K30" s="13">
        <f>IF(J30&lt;=0.005,0,ROUND(J30*Inputs!$B$8,2))</f>
        <v/>
      </c>
      <c r="L30" s="13">
        <f>IF(J30&lt;=0.005,0,MIN(Inputs!$B$7,J30+K30))</f>
        <v/>
      </c>
      <c r="M30" s="13">
        <f>L30-K30</f>
        <v/>
      </c>
      <c r="N30" s="13">
        <f>IF(J30&lt;=0.005,0,MIN(H30,J30-M30))</f>
        <v/>
      </c>
      <c r="O30" s="13">
        <f>ROUND(J30-M30-N30,2)</f>
        <v/>
      </c>
    </row>
    <row r="31">
      <c r="A31" s="11" t="n">
        <v>29</v>
      </c>
      <c r="B31" s="12">
        <f>EDATE(Inputs!$B$6,A31-1)</f>
        <v/>
      </c>
      <c r="C31" s="13">
        <f>G30</f>
        <v/>
      </c>
      <c r="D31" s="13">
        <f>IF(C31&lt;=0.005,0,ROUND(C31*Inputs!$B$8,2))</f>
        <v/>
      </c>
      <c r="E31" s="13">
        <f>IF(C31&lt;=0.005,0,MIN(Inputs!$B$7,C31+D31))</f>
        <v/>
      </c>
      <c r="F31" s="13">
        <f>E31-D31</f>
        <v/>
      </c>
      <c r="G31" s="13">
        <f>ROUND(C31-F31,2)</f>
        <v/>
      </c>
      <c r="H31" s="14" t="n">
        <v>0</v>
      </c>
      <c r="I31" s="11">
        <f>IF(H31=0,"",IF(A31&lt;2,"X not before month 2",IF(H31&lt;MAX(5000,Inputs!$B$7),"X below min",IF(H31&gt;MIN(5000000,0.75*J31),"X above max","OK"))))</f>
        <v/>
      </c>
      <c r="J31" s="13">
        <f>O30</f>
        <v/>
      </c>
      <c r="K31" s="13">
        <f>IF(J31&lt;=0.005,0,ROUND(J31*Inputs!$B$8,2))</f>
        <v/>
      </c>
      <c r="L31" s="13">
        <f>IF(J31&lt;=0.005,0,MIN(Inputs!$B$7,J31+K31))</f>
        <v/>
      </c>
      <c r="M31" s="13">
        <f>L31-K31</f>
        <v/>
      </c>
      <c r="N31" s="13">
        <f>IF(J31&lt;=0.005,0,MIN(H31,J31-M31))</f>
        <v/>
      </c>
      <c r="O31" s="13">
        <f>ROUND(J31-M31-N31,2)</f>
        <v/>
      </c>
    </row>
    <row r="32">
      <c r="A32" s="11" t="n">
        <v>30</v>
      </c>
      <c r="B32" s="12">
        <f>EDATE(Inputs!$B$6,A32-1)</f>
        <v/>
      </c>
      <c r="C32" s="13">
        <f>G31</f>
        <v/>
      </c>
      <c r="D32" s="13">
        <f>IF(C32&lt;=0.005,0,ROUND(C32*Inputs!$B$8,2))</f>
        <v/>
      </c>
      <c r="E32" s="13">
        <f>IF(C32&lt;=0.005,0,MIN(Inputs!$B$7,C32+D32))</f>
        <v/>
      </c>
      <c r="F32" s="13">
        <f>E32-D32</f>
        <v/>
      </c>
      <c r="G32" s="13">
        <f>ROUND(C32-F32,2)</f>
        <v/>
      </c>
      <c r="H32" s="14" t="n">
        <v>0</v>
      </c>
      <c r="I32" s="11">
        <f>IF(H32=0,"",IF(A32&lt;2,"X not before month 2",IF(H32&lt;MAX(5000,Inputs!$B$7),"X below min",IF(H32&gt;MIN(5000000,0.75*J32),"X above max","OK"))))</f>
        <v/>
      </c>
      <c r="J32" s="13">
        <f>O31</f>
        <v/>
      </c>
      <c r="K32" s="13">
        <f>IF(J32&lt;=0.005,0,ROUND(J32*Inputs!$B$8,2))</f>
        <v/>
      </c>
      <c r="L32" s="13">
        <f>IF(J32&lt;=0.005,0,MIN(Inputs!$B$7,J32+K32))</f>
        <v/>
      </c>
      <c r="M32" s="13">
        <f>L32-K32</f>
        <v/>
      </c>
      <c r="N32" s="13">
        <f>IF(J32&lt;=0.005,0,MIN(H32,J32-M32))</f>
        <v/>
      </c>
      <c r="O32" s="13">
        <f>ROUND(J32-M32-N32,2)</f>
        <v/>
      </c>
    </row>
    <row r="33">
      <c r="A33" s="11" t="n">
        <v>31</v>
      </c>
      <c r="B33" s="12">
        <f>EDATE(Inputs!$B$6,A33-1)</f>
        <v/>
      </c>
      <c r="C33" s="13">
        <f>G32</f>
        <v/>
      </c>
      <c r="D33" s="13">
        <f>IF(C33&lt;=0.005,0,ROUND(C33*Inputs!$B$8,2))</f>
        <v/>
      </c>
      <c r="E33" s="13">
        <f>IF(C33&lt;=0.005,0,MIN(Inputs!$B$7,C33+D33))</f>
        <v/>
      </c>
      <c r="F33" s="13">
        <f>E33-D33</f>
        <v/>
      </c>
      <c r="G33" s="13">
        <f>ROUND(C33-F33,2)</f>
        <v/>
      </c>
      <c r="H33" s="14" t="n">
        <v>0</v>
      </c>
      <c r="I33" s="11">
        <f>IF(H33=0,"",IF(A33&lt;2,"X not before month 2",IF(H33&lt;MAX(5000,Inputs!$B$7),"X below min",IF(H33&gt;MIN(5000000,0.75*J33),"X above max","OK"))))</f>
        <v/>
      </c>
      <c r="J33" s="13">
        <f>O32</f>
        <v/>
      </c>
      <c r="K33" s="13">
        <f>IF(J33&lt;=0.005,0,ROUND(J33*Inputs!$B$8,2))</f>
        <v/>
      </c>
      <c r="L33" s="13">
        <f>IF(J33&lt;=0.005,0,MIN(Inputs!$B$7,J33+K33))</f>
        <v/>
      </c>
      <c r="M33" s="13">
        <f>L33-K33</f>
        <v/>
      </c>
      <c r="N33" s="13">
        <f>IF(J33&lt;=0.005,0,MIN(H33,J33-M33))</f>
        <v/>
      </c>
      <c r="O33" s="13">
        <f>ROUND(J33-M33-N33,2)</f>
        <v/>
      </c>
    </row>
    <row r="34">
      <c r="A34" s="11" t="n">
        <v>32</v>
      </c>
      <c r="B34" s="12">
        <f>EDATE(Inputs!$B$6,A34-1)</f>
        <v/>
      </c>
      <c r="C34" s="13">
        <f>G33</f>
        <v/>
      </c>
      <c r="D34" s="13">
        <f>IF(C34&lt;=0.005,0,ROUND(C34*Inputs!$B$8,2))</f>
        <v/>
      </c>
      <c r="E34" s="13">
        <f>IF(C34&lt;=0.005,0,MIN(Inputs!$B$7,C34+D34))</f>
        <v/>
      </c>
      <c r="F34" s="13">
        <f>E34-D34</f>
        <v/>
      </c>
      <c r="G34" s="13">
        <f>ROUND(C34-F34,2)</f>
        <v/>
      </c>
      <c r="H34" s="14" t="n">
        <v>0</v>
      </c>
      <c r="I34" s="11">
        <f>IF(H34=0,"",IF(A34&lt;2,"X not before month 2",IF(H34&lt;MAX(5000,Inputs!$B$7),"X below min",IF(H34&gt;MIN(5000000,0.75*J34),"X above max","OK"))))</f>
        <v/>
      </c>
      <c r="J34" s="13">
        <f>O33</f>
        <v/>
      </c>
      <c r="K34" s="13">
        <f>IF(J34&lt;=0.005,0,ROUND(J34*Inputs!$B$8,2))</f>
        <v/>
      </c>
      <c r="L34" s="13">
        <f>IF(J34&lt;=0.005,0,MIN(Inputs!$B$7,J34+K34))</f>
        <v/>
      </c>
      <c r="M34" s="13">
        <f>L34-K34</f>
        <v/>
      </c>
      <c r="N34" s="13">
        <f>IF(J34&lt;=0.005,0,MIN(H34,J34-M34))</f>
        <v/>
      </c>
      <c r="O34" s="13">
        <f>ROUND(J34-M34-N34,2)</f>
        <v/>
      </c>
    </row>
    <row r="35">
      <c r="A35" s="11" t="n">
        <v>33</v>
      </c>
      <c r="B35" s="12">
        <f>EDATE(Inputs!$B$6,A35-1)</f>
        <v/>
      </c>
      <c r="C35" s="13">
        <f>G34</f>
        <v/>
      </c>
      <c r="D35" s="13">
        <f>IF(C35&lt;=0.005,0,ROUND(C35*Inputs!$B$8,2))</f>
        <v/>
      </c>
      <c r="E35" s="13">
        <f>IF(C35&lt;=0.005,0,MIN(Inputs!$B$7,C35+D35))</f>
        <v/>
      </c>
      <c r="F35" s="13">
        <f>E35-D35</f>
        <v/>
      </c>
      <c r="G35" s="13">
        <f>ROUND(C35-F35,2)</f>
        <v/>
      </c>
      <c r="H35" s="14" t="n">
        <v>0</v>
      </c>
      <c r="I35" s="11">
        <f>IF(H35=0,"",IF(A35&lt;2,"X not before month 2",IF(H35&lt;MAX(5000,Inputs!$B$7),"X below min",IF(H35&gt;MIN(5000000,0.75*J35),"X above max","OK"))))</f>
        <v/>
      </c>
      <c r="J35" s="13">
        <f>O34</f>
        <v/>
      </c>
      <c r="K35" s="13">
        <f>IF(J35&lt;=0.005,0,ROUND(J35*Inputs!$B$8,2))</f>
        <v/>
      </c>
      <c r="L35" s="13">
        <f>IF(J35&lt;=0.005,0,MIN(Inputs!$B$7,J35+K35))</f>
        <v/>
      </c>
      <c r="M35" s="13">
        <f>L35-K35</f>
        <v/>
      </c>
      <c r="N35" s="13">
        <f>IF(J35&lt;=0.005,0,MIN(H35,J35-M35))</f>
        <v/>
      </c>
      <c r="O35" s="13">
        <f>ROUND(J35-M35-N35,2)</f>
        <v/>
      </c>
    </row>
    <row r="36">
      <c r="A36" s="11" t="n">
        <v>34</v>
      </c>
      <c r="B36" s="12">
        <f>EDATE(Inputs!$B$6,A36-1)</f>
        <v/>
      </c>
      <c r="C36" s="13">
        <f>G35</f>
        <v/>
      </c>
      <c r="D36" s="13">
        <f>IF(C36&lt;=0.005,0,ROUND(C36*Inputs!$B$8,2))</f>
        <v/>
      </c>
      <c r="E36" s="13">
        <f>IF(C36&lt;=0.005,0,MIN(Inputs!$B$7,C36+D36))</f>
        <v/>
      </c>
      <c r="F36" s="13">
        <f>E36-D36</f>
        <v/>
      </c>
      <c r="G36" s="13">
        <f>ROUND(C36-F36,2)</f>
        <v/>
      </c>
      <c r="H36" s="14" t="n">
        <v>0</v>
      </c>
      <c r="I36" s="11">
        <f>IF(H36=0,"",IF(A36&lt;2,"X not before month 2",IF(H36&lt;MAX(5000,Inputs!$B$7),"X below min",IF(H36&gt;MIN(5000000,0.75*J36),"X above max","OK"))))</f>
        <v/>
      </c>
      <c r="J36" s="13">
        <f>O35</f>
        <v/>
      </c>
      <c r="K36" s="13">
        <f>IF(J36&lt;=0.005,0,ROUND(J36*Inputs!$B$8,2))</f>
        <v/>
      </c>
      <c r="L36" s="13">
        <f>IF(J36&lt;=0.005,0,MIN(Inputs!$B$7,J36+K36))</f>
        <v/>
      </c>
      <c r="M36" s="13">
        <f>L36-K36</f>
        <v/>
      </c>
      <c r="N36" s="13">
        <f>IF(J36&lt;=0.005,0,MIN(H36,J36-M36))</f>
        <v/>
      </c>
      <c r="O36" s="13">
        <f>ROUND(J36-M36-N36,2)</f>
        <v/>
      </c>
    </row>
    <row r="37">
      <c r="A37" s="11" t="n">
        <v>35</v>
      </c>
      <c r="B37" s="12">
        <f>EDATE(Inputs!$B$6,A37-1)</f>
        <v/>
      </c>
      <c r="C37" s="13">
        <f>G36</f>
        <v/>
      </c>
      <c r="D37" s="13">
        <f>IF(C37&lt;=0.005,0,ROUND(C37*Inputs!$B$8,2))</f>
        <v/>
      </c>
      <c r="E37" s="13">
        <f>IF(C37&lt;=0.005,0,MIN(Inputs!$B$7,C37+D37))</f>
        <v/>
      </c>
      <c r="F37" s="13">
        <f>E37-D37</f>
        <v/>
      </c>
      <c r="G37" s="13">
        <f>ROUND(C37-F37,2)</f>
        <v/>
      </c>
      <c r="H37" s="14" t="n">
        <v>0</v>
      </c>
      <c r="I37" s="11">
        <f>IF(H37=0,"",IF(A37&lt;2,"X not before month 2",IF(H37&lt;MAX(5000,Inputs!$B$7),"X below min",IF(H37&gt;MIN(5000000,0.75*J37),"X above max","OK"))))</f>
        <v/>
      </c>
      <c r="J37" s="13">
        <f>O36</f>
        <v/>
      </c>
      <c r="K37" s="13">
        <f>IF(J37&lt;=0.005,0,ROUND(J37*Inputs!$B$8,2))</f>
        <v/>
      </c>
      <c r="L37" s="13">
        <f>IF(J37&lt;=0.005,0,MIN(Inputs!$B$7,J37+K37))</f>
        <v/>
      </c>
      <c r="M37" s="13">
        <f>L37-K37</f>
        <v/>
      </c>
      <c r="N37" s="13">
        <f>IF(J37&lt;=0.005,0,MIN(H37,J37-M37))</f>
        <v/>
      </c>
      <c r="O37" s="13">
        <f>ROUND(J37-M37-N37,2)</f>
        <v/>
      </c>
    </row>
    <row r="38">
      <c r="A38" s="11" t="n">
        <v>36</v>
      </c>
      <c r="B38" s="12">
        <f>EDATE(Inputs!$B$6,A38-1)</f>
        <v/>
      </c>
      <c r="C38" s="13">
        <f>G37</f>
        <v/>
      </c>
      <c r="D38" s="13">
        <f>IF(C38&lt;=0.005,0,ROUND(C38*Inputs!$B$8,2))</f>
        <v/>
      </c>
      <c r="E38" s="13">
        <f>IF(C38&lt;=0.005,0,MIN(Inputs!$B$7,C38+D38))</f>
        <v/>
      </c>
      <c r="F38" s="13">
        <f>E38-D38</f>
        <v/>
      </c>
      <c r="G38" s="13">
        <f>ROUND(C38-F38,2)</f>
        <v/>
      </c>
      <c r="H38" s="14" t="n">
        <v>0</v>
      </c>
      <c r="I38" s="11">
        <f>IF(H38=0,"",IF(A38&lt;2,"X not before month 2",IF(H38&lt;MAX(5000,Inputs!$B$7),"X below min",IF(H38&gt;MIN(5000000,0.75*J38),"X above max","OK"))))</f>
        <v/>
      </c>
      <c r="J38" s="13">
        <f>O37</f>
        <v/>
      </c>
      <c r="K38" s="13">
        <f>IF(J38&lt;=0.005,0,ROUND(J38*Inputs!$B$8,2))</f>
        <v/>
      </c>
      <c r="L38" s="13">
        <f>IF(J38&lt;=0.005,0,MIN(Inputs!$B$7,J38+K38))</f>
        <v/>
      </c>
      <c r="M38" s="13">
        <f>L38-K38</f>
        <v/>
      </c>
      <c r="N38" s="13">
        <f>IF(J38&lt;=0.005,0,MIN(H38,J38-M38))</f>
        <v/>
      </c>
      <c r="O38" s="13">
        <f>ROUND(J38-M38-N38,2)</f>
        <v/>
      </c>
    </row>
    <row r="39">
      <c r="A39" s="11" t="n">
        <v>37</v>
      </c>
      <c r="B39" s="12">
        <f>EDATE(Inputs!$B$6,A39-1)</f>
        <v/>
      </c>
      <c r="C39" s="13">
        <f>G38</f>
        <v/>
      </c>
      <c r="D39" s="13">
        <f>IF(C39&lt;=0.005,0,ROUND(C39*Inputs!$B$8,2))</f>
        <v/>
      </c>
      <c r="E39" s="13">
        <f>IF(C39&lt;=0.005,0,MIN(Inputs!$B$7,C39+D39))</f>
        <v/>
      </c>
      <c r="F39" s="13">
        <f>E39-D39</f>
        <v/>
      </c>
      <c r="G39" s="13">
        <f>ROUND(C39-F39,2)</f>
        <v/>
      </c>
      <c r="H39" s="14" t="n">
        <v>0</v>
      </c>
      <c r="I39" s="11">
        <f>IF(H39=0,"",IF(A39&lt;2,"X not before month 2",IF(H39&lt;MAX(5000,Inputs!$B$7),"X below min",IF(H39&gt;MIN(5000000,0.75*J39),"X above max","OK"))))</f>
        <v/>
      </c>
      <c r="J39" s="13">
        <f>O38</f>
        <v/>
      </c>
      <c r="K39" s="13">
        <f>IF(J39&lt;=0.005,0,ROUND(J39*Inputs!$B$8,2))</f>
        <v/>
      </c>
      <c r="L39" s="13">
        <f>IF(J39&lt;=0.005,0,MIN(Inputs!$B$7,J39+K39))</f>
        <v/>
      </c>
      <c r="M39" s="13">
        <f>L39-K39</f>
        <v/>
      </c>
      <c r="N39" s="13">
        <f>IF(J39&lt;=0.005,0,MIN(H39,J39-M39))</f>
        <v/>
      </c>
      <c r="O39" s="13">
        <f>ROUND(J39-M39-N39,2)</f>
        <v/>
      </c>
    </row>
    <row r="40">
      <c r="A40" s="11" t="n">
        <v>38</v>
      </c>
      <c r="B40" s="12">
        <f>EDATE(Inputs!$B$6,A40-1)</f>
        <v/>
      </c>
      <c r="C40" s="13">
        <f>G39</f>
        <v/>
      </c>
      <c r="D40" s="13">
        <f>IF(C40&lt;=0.005,0,ROUND(C40*Inputs!$B$8,2))</f>
        <v/>
      </c>
      <c r="E40" s="13">
        <f>IF(C40&lt;=0.005,0,MIN(Inputs!$B$7,C40+D40))</f>
        <v/>
      </c>
      <c r="F40" s="13">
        <f>E40-D40</f>
        <v/>
      </c>
      <c r="G40" s="13">
        <f>ROUND(C40-F40,2)</f>
        <v/>
      </c>
      <c r="H40" s="14" t="n">
        <v>0</v>
      </c>
      <c r="I40" s="11">
        <f>IF(H40=0,"",IF(A40&lt;2,"X not before month 2",IF(H40&lt;MAX(5000,Inputs!$B$7),"X below min",IF(H40&gt;MIN(5000000,0.75*J40),"X above max","OK"))))</f>
        <v/>
      </c>
      <c r="J40" s="13">
        <f>O39</f>
        <v/>
      </c>
      <c r="K40" s="13">
        <f>IF(J40&lt;=0.005,0,ROUND(J40*Inputs!$B$8,2))</f>
        <v/>
      </c>
      <c r="L40" s="13">
        <f>IF(J40&lt;=0.005,0,MIN(Inputs!$B$7,J40+K40))</f>
        <v/>
      </c>
      <c r="M40" s="13">
        <f>L40-K40</f>
        <v/>
      </c>
      <c r="N40" s="13">
        <f>IF(J40&lt;=0.005,0,MIN(H40,J40-M40))</f>
        <v/>
      </c>
      <c r="O40" s="13">
        <f>ROUND(J40-M40-N40,2)</f>
        <v/>
      </c>
    </row>
    <row r="41">
      <c r="A41" s="11" t="n">
        <v>39</v>
      </c>
      <c r="B41" s="12">
        <f>EDATE(Inputs!$B$6,A41-1)</f>
        <v/>
      </c>
      <c r="C41" s="13">
        <f>G40</f>
        <v/>
      </c>
      <c r="D41" s="13">
        <f>IF(C41&lt;=0.005,0,ROUND(C41*Inputs!$B$8,2))</f>
        <v/>
      </c>
      <c r="E41" s="13">
        <f>IF(C41&lt;=0.005,0,MIN(Inputs!$B$7,C41+D41))</f>
        <v/>
      </c>
      <c r="F41" s="13">
        <f>E41-D41</f>
        <v/>
      </c>
      <c r="G41" s="13">
        <f>ROUND(C41-F41,2)</f>
        <v/>
      </c>
      <c r="H41" s="14" t="n">
        <v>0</v>
      </c>
      <c r="I41" s="11">
        <f>IF(H41=0,"",IF(A41&lt;2,"X not before month 2",IF(H41&lt;MAX(5000,Inputs!$B$7),"X below min",IF(H41&gt;MIN(5000000,0.75*J41),"X above max","OK"))))</f>
        <v/>
      </c>
      <c r="J41" s="13">
        <f>O40</f>
        <v/>
      </c>
      <c r="K41" s="13">
        <f>IF(J41&lt;=0.005,0,ROUND(J41*Inputs!$B$8,2))</f>
        <v/>
      </c>
      <c r="L41" s="13">
        <f>IF(J41&lt;=0.005,0,MIN(Inputs!$B$7,J41+K41))</f>
        <v/>
      </c>
      <c r="M41" s="13">
        <f>L41-K41</f>
        <v/>
      </c>
      <c r="N41" s="13">
        <f>IF(J41&lt;=0.005,0,MIN(H41,J41-M41))</f>
        <v/>
      </c>
      <c r="O41" s="13">
        <f>ROUND(J41-M41-N41,2)</f>
        <v/>
      </c>
    </row>
    <row r="42">
      <c r="A42" s="11" t="n">
        <v>40</v>
      </c>
      <c r="B42" s="12">
        <f>EDATE(Inputs!$B$6,A42-1)</f>
        <v/>
      </c>
      <c r="C42" s="13">
        <f>G41</f>
        <v/>
      </c>
      <c r="D42" s="13">
        <f>IF(C42&lt;=0.005,0,ROUND(C42*Inputs!$B$8,2))</f>
        <v/>
      </c>
      <c r="E42" s="13">
        <f>IF(C42&lt;=0.005,0,MIN(Inputs!$B$7,C42+D42))</f>
        <v/>
      </c>
      <c r="F42" s="13">
        <f>E42-D42</f>
        <v/>
      </c>
      <c r="G42" s="13">
        <f>ROUND(C42-F42,2)</f>
        <v/>
      </c>
      <c r="H42" s="14" t="n">
        <v>0</v>
      </c>
      <c r="I42" s="11">
        <f>IF(H42=0,"",IF(A42&lt;2,"X not before month 2",IF(H42&lt;MAX(5000,Inputs!$B$7),"X below min",IF(H42&gt;MIN(5000000,0.75*J42),"X above max","OK"))))</f>
        <v/>
      </c>
      <c r="J42" s="13">
        <f>O41</f>
        <v/>
      </c>
      <c r="K42" s="13">
        <f>IF(J42&lt;=0.005,0,ROUND(J42*Inputs!$B$8,2))</f>
        <v/>
      </c>
      <c r="L42" s="13">
        <f>IF(J42&lt;=0.005,0,MIN(Inputs!$B$7,J42+K42))</f>
        <v/>
      </c>
      <c r="M42" s="13">
        <f>L42-K42</f>
        <v/>
      </c>
      <c r="N42" s="13">
        <f>IF(J42&lt;=0.005,0,MIN(H42,J42-M42))</f>
        <v/>
      </c>
      <c r="O42" s="13">
        <f>ROUND(J42-M42-N42,2)</f>
        <v/>
      </c>
    </row>
    <row r="43">
      <c r="A43" s="11" t="n">
        <v>41</v>
      </c>
      <c r="B43" s="12">
        <f>EDATE(Inputs!$B$6,A43-1)</f>
        <v/>
      </c>
      <c r="C43" s="13">
        <f>G42</f>
        <v/>
      </c>
      <c r="D43" s="13">
        <f>IF(C43&lt;=0.005,0,ROUND(C43*Inputs!$B$8,2))</f>
        <v/>
      </c>
      <c r="E43" s="13">
        <f>IF(C43&lt;=0.005,0,MIN(Inputs!$B$7,C43+D43))</f>
        <v/>
      </c>
      <c r="F43" s="13">
        <f>E43-D43</f>
        <v/>
      </c>
      <c r="G43" s="13">
        <f>ROUND(C43-F43,2)</f>
        <v/>
      </c>
      <c r="H43" s="14" t="n">
        <v>0</v>
      </c>
      <c r="I43" s="11">
        <f>IF(H43=0,"",IF(A43&lt;2,"X not before month 2",IF(H43&lt;MAX(5000,Inputs!$B$7),"X below min",IF(H43&gt;MIN(5000000,0.75*J43),"X above max","OK"))))</f>
        <v/>
      </c>
      <c r="J43" s="13">
        <f>O42</f>
        <v/>
      </c>
      <c r="K43" s="13">
        <f>IF(J43&lt;=0.005,0,ROUND(J43*Inputs!$B$8,2))</f>
        <v/>
      </c>
      <c r="L43" s="13">
        <f>IF(J43&lt;=0.005,0,MIN(Inputs!$B$7,J43+K43))</f>
        <v/>
      </c>
      <c r="M43" s="13">
        <f>L43-K43</f>
        <v/>
      </c>
      <c r="N43" s="13">
        <f>IF(J43&lt;=0.005,0,MIN(H43,J43-M43))</f>
        <v/>
      </c>
      <c r="O43" s="13">
        <f>ROUND(J43-M43-N43,2)</f>
        <v/>
      </c>
    </row>
    <row r="44">
      <c r="A44" s="11" t="n">
        <v>42</v>
      </c>
      <c r="B44" s="12">
        <f>EDATE(Inputs!$B$6,A44-1)</f>
        <v/>
      </c>
      <c r="C44" s="13">
        <f>G43</f>
        <v/>
      </c>
      <c r="D44" s="13">
        <f>IF(C44&lt;=0.005,0,ROUND(C44*Inputs!$B$8,2))</f>
        <v/>
      </c>
      <c r="E44" s="13">
        <f>IF(C44&lt;=0.005,0,MIN(Inputs!$B$7,C44+D44))</f>
        <v/>
      </c>
      <c r="F44" s="13">
        <f>E44-D44</f>
        <v/>
      </c>
      <c r="G44" s="13">
        <f>ROUND(C44-F44,2)</f>
        <v/>
      </c>
      <c r="H44" s="14" t="n">
        <v>0</v>
      </c>
      <c r="I44" s="11">
        <f>IF(H44=0,"",IF(A44&lt;2,"X not before month 2",IF(H44&lt;MAX(5000,Inputs!$B$7),"X below min",IF(H44&gt;MIN(5000000,0.75*J44),"X above max","OK"))))</f>
        <v/>
      </c>
      <c r="J44" s="13">
        <f>O43</f>
        <v/>
      </c>
      <c r="K44" s="13">
        <f>IF(J44&lt;=0.005,0,ROUND(J44*Inputs!$B$8,2))</f>
        <v/>
      </c>
      <c r="L44" s="13">
        <f>IF(J44&lt;=0.005,0,MIN(Inputs!$B$7,J44+K44))</f>
        <v/>
      </c>
      <c r="M44" s="13">
        <f>L44-K44</f>
        <v/>
      </c>
      <c r="N44" s="13">
        <f>IF(J44&lt;=0.005,0,MIN(H44,J44-M44))</f>
        <v/>
      </c>
      <c r="O44" s="13">
        <f>ROUND(J44-M44-N44,2)</f>
        <v/>
      </c>
    </row>
    <row r="45">
      <c r="A45" s="11" t="n">
        <v>43</v>
      </c>
      <c r="B45" s="12">
        <f>EDATE(Inputs!$B$6,A45-1)</f>
        <v/>
      </c>
      <c r="C45" s="13">
        <f>G44</f>
        <v/>
      </c>
      <c r="D45" s="13">
        <f>IF(C45&lt;=0.005,0,ROUND(C45*Inputs!$B$8,2))</f>
        <v/>
      </c>
      <c r="E45" s="13">
        <f>IF(C45&lt;=0.005,0,MIN(Inputs!$B$7,C45+D45))</f>
        <v/>
      </c>
      <c r="F45" s="13">
        <f>E45-D45</f>
        <v/>
      </c>
      <c r="G45" s="13">
        <f>ROUND(C45-F45,2)</f>
        <v/>
      </c>
      <c r="H45" s="14" t="n">
        <v>0</v>
      </c>
      <c r="I45" s="11">
        <f>IF(H45=0,"",IF(A45&lt;2,"X not before month 2",IF(H45&lt;MAX(5000,Inputs!$B$7),"X below min",IF(H45&gt;MIN(5000000,0.75*J45),"X above max","OK"))))</f>
        <v/>
      </c>
      <c r="J45" s="13">
        <f>O44</f>
        <v/>
      </c>
      <c r="K45" s="13">
        <f>IF(J45&lt;=0.005,0,ROUND(J45*Inputs!$B$8,2))</f>
        <v/>
      </c>
      <c r="L45" s="13">
        <f>IF(J45&lt;=0.005,0,MIN(Inputs!$B$7,J45+K45))</f>
        <v/>
      </c>
      <c r="M45" s="13">
        <f>L45-K45</f>
        <v/>
      </c>
      <c r="N45" s="13">
        <f>IF(J45&lt;=0.005,0,MIN(H45,J45-M45))</f>
        <v/>
      </c>
      <c r="O45" s="13">
        <f>ROUND(J45-M45-N45,2)</f>
        <v/>
      </c>
    </row>
    <row r="46">
      <c r="A46" s="11" t="n">
        <v>44</v>
      </c>
      <c r="B46" s="12">
        <f>EDATE(Inputs!$B$6,A46-1)</f>
        <v/>
      </c>
      <c r="C46" s="13">
        <f>G45</f>
        <v/>
      </c>
      <c r="D46" s="13">
        <f>IF(C46&lt;=0.005,0,ROUND(C46*Inputs!$B$8,2))</f>
        <v/>
      </c>
      <c r="E46" s="13">
        <f>IF(C46&lt;=0.005,0,MIN(Inputs!$B$7,C46+D46))</f>
        <v/>
      </c>
      <c r="F46" s="13">
        <f>E46-D46</f>
        <v/>
      </c>
      <c r="G46" s="13">
        <f>ROUND(C46-F46,2)</f>
        <v/>
      </c>
      <c r="H46" s="14" t="n">
        <v>0</v>
      </c>
      <c r="I46" s="11">
        <f>IF(H46=0,"",IF(A46&lt;2,"X not before month 2",IF(H46&lt;MAX(5000,Inputs!$B$7),"X below min",IF(H46&gt;MIN(5000000,0.75*J46),"X above max","OK"))))</f>
        <v/>
      </c>
      <c r="J46" s="13">
        <f>O45</f>
        <v/>
      </c>
      <c r="K46" s="13">
        <f>IF(J46&lt;=0.005,0,ROUND(J46*Inputs!$B$8,2))</f>
        <v/>
      </c>
      <c r="L46" s="13">
        <f>IF(J46&lt;=0.005,0,MIN(Inputs!$B$7,J46+K46))</f>
        <v/>
      </c>
      <c r="M46" s="13">
        <f>L46-K46</f>
        <v/>
      </c>
      <c r="N46" s="13">
        <f>IF(J46&lt;=0.005,0,MIN(H46,J46-M46))</f>
        <v/>
      </c>
      <c r="O46" s="13">
        <f>ROUND(J46-M46-N46,2)</f>
        <v/>
      </c>
    </row>
    <row r="47">
      <c r="A47" s="11" t="n">
        <v>45</v>
      </c>
      <c r="B47" s="12">
        <f>EDATE(Inputs!$B$6,A47-1)</f>
        <v/>
      </c>
      <c r="C47" s="13">
        <f>G46</f>
        <v/>
      </c>
      <c r="D47" s="13">
        <f>IF(C47&lt;=0.005,0,ROUND(C47*Inputs!$B$8,2))</f>
        <v/>
      </c>
      <c r="E47" s="13">
        <f>IF(C47&lt;=0.005,0,MIN(Inputs!$B$7,C47+D47))</f>
        <v/>
      </c>
      <c r="F47" s="13">
        <f>E47-D47</f>
        <v/>
      </c>
      <c r="G47" s="13">
        <f>ROUND(C47-F47,2)</f>
        <v/>
      </c>
      <c r="H47" s="14" t="n">
        <v>0</v>
      </c>
      <c r="I47" s="11">
        <f>IF(H47=0,"",IF(A47&lt;2,"X not before month 2",IF(H47&lt;MAX(5000,Inputs!$B$7),"X below min",IF(H47&gt;MIN(5000000,0.75*J47),"X above max","OK"))))</f>
        <v/>
      </c>
      <c r="J47" s="13">
        <f>O46</f>
        <v/>
      </c>
      <c r="K47" s="13">
        <f>IF(J47&lt;=0.005,0,ROUND(J47*Inputs!$B$8,2))</f>
        <v/>
      </c>
      <c r="L47" s="13">
        <f>IF(J47&lt;=0.005,0,MIN(Inputs!$B$7,J47+K47))</f>
        <v/>
      </c>
      <c r="M47" s="13">
        <f>L47-K47</f>
        <v/>
      </c>
      <c r="N47" s="13">
        <f>IF(J47&lt;=0.005,0,MIN(H47,J47-M47))</f>
        <v/>
      </c>
      <c r="O47" s="13">
        <f>ROUND(J47-M47-N47,2)</f>
        <v/>
      </c>
    </row>
    <row r="48">
      <c r="A48" s="11" t="n">
        <v>46</v>
      </c>
      <c r="B48" s="12">
        <f>EDATE(Inputs!$B$6,A48-1)</f>
        <v/>
      </c>
      <c r="C48" s="13">
        <f>G47</f>
        <v/>
      </c>
      <c r="D48" s="13">
        <f>IF(C48&lt;=0.005,0,ROUND(C48*Inputs!$B$8,2))</f>
        <v/>
      </c>
      <c r="E48" s="13">
        <f>IF(C48&lt;=0.005,0,MIN(Inputs!$B$7,C48+D48))</f>
        <v/>
      </c>
      <c r="F48" s="13">
        <f>E48-D48</f>
        <v/>
      </c>
      <c r="G48" s="13">
        <f>ROUND(C48-F48,2)</f>
        <v/>
      </c>
      <c r="H48" s="14" t="n">
        <v>0</v>
      </c>
      <c r="I48" s="11">
        <f>IF(H48=0,"",IF(A48&lt;2,"X not before month 2",IF(H48&lt;MAX(5000,Inputs!$B$7),"X below min",IF(H48&gt;MIN(5000000,0.75*J48),"X above max","OK"))))</f>
        <v/>
      </c>
      <c r="J48" s="13">
        <f>O47</f>
        <v/>
      </c>
      <c r="K48" s="13">
        <f>IF(J48&lt;=0.005,0,ROUND(J48*Inputs!$B$8,2))</f>
        <v/>
      </c>
      <c r="L48" s="13">
        <f>IF(J48&lt;=0.005,0,MIN(Inputs!$B$7,J48+K48))</f>
        <v/>
      </c>
      <c r="M48" s="13">
        <f>L48-K48</f>
        <v/>
      </c>
      <c r="N48" s="13">
        <f>IF(J48&lt;=0.005,0,MIN(H48,J48-M48))</f>
        <v/>
      </c>
      <c r="O48" s="13">
        <f>ROUND(J48-M48-N48,2)</f>
        <v/>
      </c>
    </row>
    <row r="49">
      <c r="A49" s="11" t="n">
        <v>47</v>
      </c>
      <c r="B49" s="12">
        <f>EDATE(Inputs!$B$6,A49-1)</f>
        <v/>
      </c>
      <c r="C49" s="13">
        <f>G48</f>
        <v/>
      </c>
      <c r="D49" s="13">
        <f>IF(C49&lt;=0.005,0,ROUND(C49*Inputs!$B$8,2))</f>
        <v/>
      </c>
      <c r="E49" s="13">
        <f>IF(C49&lt;=0.005,0,MIN(Inputs!$B$7,C49+D49))</f>
        <v/>
      </c>
      <c r="F49" s="13">
        <f>E49-D49</f>
        <v/>
      </c>
      <c r="G49" s="13">
        <f>ROUND(C49-F49,2)</f>
        <v/>
      </c>
      <c r="H49" s="14" t="n">
        <v>0</v>
      </c>
      <c r="I49" s="11">
        <f>IF(H49=0,"",IF(A49&lt;2,"X not before month 2",IF(H49&lt;MAX(5000,Inputs!$B$7),"X below min",IF(H49&gt;MIN(5000000,0.75*J49),"X above max","OK"))))</f>
        <v/>
      </c>
      <c r="J49" s="13">
        <f>O48</f>
        <v/>
      </c>
      <c r="K49" s="13">
        <f>IF(J49&lt;=0.005,0,ROUND(J49*Inputs!$B$8,2))</f>
        <v/>
      </c>
      <c r="L49" s="13">
        <f>IF(J49&lt;=0.005,0,MIN(Inputs!$B$7,J49+K49))</f>
        <v/>
      </c>
      <c r="M49" s="13">
        <f>L49-K49</f>
        <v/>
      </c>
      <c r="N49" s="13">
        <f>IF(J49&lt;=0.005,0,MIN(H49,J49-M49))</f>
        <v/>
      </c>
      <c r="O49" s="13">
        <f>ROUND(J49-M49-N49,2)</f>
        <v/>
      </c>
    </row>
    <row r="50">
      <c r="A50" s="11" t="n">
        <v>48</v>
      </c>
      <c r="B50" s="12">
        <f>EDATE(Inputs!$B$6,A50-1)</f>
        <v/>
      </c>
      <c r="C50" s="13">
        <f>G49</f>
        <v/>
      </c>
      <c r="D50" s="13">
        <f>IF(C50&lt;=0.005,0,ROUND(C50*Inputs!$B$8,2))</f>
        <v/>
      </c>
      <c r="E50" s="13">
        <f>IF(C50&lt;=0.005,0,MIN(Inputs!$B$7,C50+D50))</f>
        <v/>
      </c>
      <c r="F50" s="13">
        <f>E50-D50</f>
        <v/>
      </c>
      <c r="G50" s="13">
        <f>ROUND(C50-F50,2)</f>
        <v/>
      </c>
      <c r="H50" s="14" t="n">
        <v>0</v>
      </c>
      <c r="I50" s="11">
        <f>IF(H50=0,"",IF(A50&lt;2,"X not before month 2",IF(H50&lt;MAX(5000,Inputs!$B$7),"X below min",IF(H50&gt;MIN(5000000,0.75*J50),"X above max","OK"))))</f>
        <v/>
      </c>
      <c r="J50" s="13">
        <f>O49</f>
        <v/>
      </c>
      <c r="K50" s="13">
        <f>IF(J50&lt;=0.005,0,ROUND(J50*Inputs!$B$8,2))</f>
        <v/>
      </c>
      <c r="L50" s="13">
        <f>IF(J50&lt;=0.005,0,MIN(Inputs!$B$7,J50+K50))</f>
        <v/>
      </c>
      <c r="M50" s="13">
        <f>L50-K50</f>
        <v/>
      </c>
      <c r="N50" s="13">
        <f>IF(J50&lt;=0.005,0,MIN(H50,J50-M50))</f>
        <v/>
      </c>
      <c r="O50" s="13">
        <f>ROUND(J50-M50-N50,2)</f>
        <v/>
      </c>
    </row>
    <row r="51">
      <c r="A51" s="11" t="n">
        <v>49</v>
      </c>
      <c r="B51" s="12">
        <f>EDATE(Inputs!$B$6,A51-1)</f>
        <v/>
      </c>
      <c r="C51" s="13">
        <f>G50</f>
        <v/>
      </c>
      <c r="D51" s="13">
        <f>IF(C51&lt;=0.005,0,ROUND(C51*Inputs!$B$8,2))</f>
        <v/>
      </c>
      <c r="E51" s="13">
        <f>IF(C51&lt;=0.005,0,MIN(Inputs!$B$7,C51+D51))</f>
        <v/>
      </c>
      <c r="F51" s="13">
        <f>E51-D51</f>
        <v/>
      </c>
      <c r="G51" s="13">
        <f>ROUND(C51-F51,2)</f>
        <v/>
      </c>
      <c r="H51" s="14" t="n">
        <v>0</v>
      </c>
      <c r="I51" s="11">
        <f>IF(H51=0,"",IF(A51&lt;2,"X not before month 2",IF(H51&lt;MAX(5000,Inputs!$B$7),"X below min",IF(H51&gt;MIN(5000000,0.75*J51),"X above max","OK"))))</f>
        <v/>
      </c>
      <c r="J51" s="13">
        <f>O50</f>
        <v/>
      </c>
      <c r="K51" s="13">
        <f>IF(J51&lt;=0.005,0,ROUND(J51*Inputs!$B$8,2))</f>
        <v/>
      </c>
      <c r="L51" s="13">
        <f>IF(J51&lt;=0.005,0,MIN(Inputs!$B$7,J51+K51))</f>
        <v/>
      </c>
      <c r="M51" s="13">
        <f>L51-K51</f>
        <v/>
      </c>
      <c r="N51" s="13">
        <f>IF(J51&lt;=0.005,0,MIN(H51,J51-M51))</f>
        <v/>
      </c>
      <c r="O51" s="13">
        <f>ROUND(J51-M51-N51,2)</f>
        <v/>
      </c>
    </row>
    <row r="52">
      <c r="A52" s="11" t="n">
        <v>50</v>
      </c>
      <c r="B52" s="12">
        <f>EDATE(Inputs!$B$6,A52-1)</f>
        <v/>
      </c>
      <c r="C52" s="13">
        <f>G51</f>
        <v/>
      </c>
      <c r="D52" s="13">
        <f>IF(C52&lt;=0.005,0,ROUND(C52*Inputs!$B$8,2))</f>
        <v/>
      </c>
      <c r="E52" s="13">
        <f>IF(C52&lt;=0.005,0,MIN(Inputs!$B$7,C52+D52))</f>
        <v/>
      </c>
      <c r="F52" s="13">
        <f>E52-D52</f>
        <v/>
      </c>
      <c r="G52" s="13">
        <f>ROUND(C52-F52,2)</f>
        <v/>
      </c>
      <c r="H52" s="14" t="n">
        <v>0</v>
      </c>
      <c r="I52" s="11">
        <f>IF(H52=0,"",IF(A52&lt;2,"X not before month 2",IF(H52&lt;MAX(5000,Inputs!$B$7),"X below min",IF(H52&gt;MIN(5000000,0.75*J52),"X above max","OK"))))</f>
        <v/>
      </c>
      <c r="J52" s="13">
        <f>O51</f>
        <v/>
      </c>
      <c r="K52" s="13">
        <f>IF(J52&lt;=0.005,0,ROUND(J52*Inputs!$B$8,2))</f>
        <v/>
      </c>
      <c r="L52" s="13">
        <f>IF(J52&lt;=0.005,0,MIN(Inputs!$B$7,J52+K52))</f>
        <v/>
      </c>
      <c r="M52" s="13">
        <f>L52-K52</f>
        <v/>
      </c>
      <c r="N52" s="13">
        <f>IF(J52&lt;=0.005,0,MIN(H52,J52-M52))</f>
        <v/>
      </c>
      <c r="O52" s="13">
        <f>ROUND(J52-M52-N52,2)</f>
        <v/>
      </c>
    </row>
    <row r="53">
      <c r="A53" s="11" t="n">
        <v>51</v>
      </c>
      <c r="B53" s="12">
        <f>EDATE(Inputs!$B$6,A53-1)</f>
        <v/>
      </c>
      <c r="C53" s="13">
        <f>G52</f>
        <v/>
      </c>
      <c r="D53" s="13">
        <f>IF(C53&lt;=0.005,0,ROUND(C53*Inputs!$B$8,2))</f>
        <v/>
      </c>
      <c r="E53" s="13">
        <f>IF(C53&lt;=0.005,0,MIN(Inputs!$B$7,C53+D53))</f>
        <v/>
      </c>
      <c r="F53" s="13">
        <f>E53-D53</f>
        <v/>
      </c>
      <c r="G53" s="13">
        <f>ROUND(C53-F53,2)</f>
        <v/>
      </c>
      <c r="H53" s="14" t="n">
        <v>0</v>
      </c>
      <c r="I53" s="11">
        <f>IF(H53=0,"",IF(A53&lt;2,"X not before month 2",IF(H53&lt;MAX(5000,Inputs!$B$7),"X below min",IF(H53&gt;MIN(5000000,0.75*J53),"X above max","OK"))))</f>
        <v/>
      </c>
      <c r="J53" s="13">
        <f>O52</f>
        <v/>
      </c>
      <c r="K53" s="13">
        <f>IF(J53&lt;=0.005,0,ROUND(J53*Inputs!$B$8,2))</f>
        <v/>
      </c>
      <c r="L53" s="13">
        <f>IF(J53&lt;=0.005,0,MIN(Inputs!$B$7,J53+K53))</f>
        <v/>
      </c>
      <c r="M53" s="13">
        <f>L53-K53</f>
        <v/>
      </c>
      <c r="N53" s="13">
        <f>IF(J53&lt;=0.005,0,MIN(H53,J53-M53))</f>
        <v/>
      </c>
      <c r="O53" s="13">
        <f>ROUND(J53-M53-N53,2)</f>
        <v/>
      </c>
    </row>
    <row r="54">
      <c r="A54" s="11" t="n">
        <v>52</v>
      </c>
      <c r="B54" s="12">
        <f>EDATE(Inputs!$B$6,A54-1)</f>
        <v/>
      </c>
      <c r="C54" s="13">
        <f>G53</f>
        <v/>
      </c>
      <c r="D54" s="13">
        <f>IF(C54&lt;=0.005,0,ROUND(C54*Inputs!$B$8,2))</f>
        <v/>
      </c>
      <c r="E54" s="13">
        <f>IF(C54&lt;=0.005,0,MIN(Inputs!$B$7,C54+D54))</f>
        <v/>
      </c>
      <c r="F54" s="13">
        <f>E54-D54</f>
        <v/>
      </c>
      <c r="G54" s="13">
        <f>ROUND(C54-F54,2)</f>
        <v/>
      </c>
      <c r="H54" s="14" t="n">
        <v>0</v>
      </c>
      <c r="I54" s="11">
        <f>IF(H54=0,"",IF(A54&lt;2,"X not before month 2",IF(H54&lt;MAX(5000,Inputs!$B$7),"X below min",IF(H54&gt;MIN(5000000,0.75*J54),"X above max","OK"))))</f>
        <v/>
      </c>
      <c r="J54" s="13">
        <f>O53</f>
        <v/>
      </c>
      <c r="K54" s="13">
        <f>IF(J54&lt;=0.005,0,ROUND(J54*Inputs!$B$8,2))</f>
        <v/>
      </c>
      <c r="L54" s="13">
        <f>IF(J54&lt;=0.005,0,MIN(Inputs!$B$7,J54+K54))</f>
        <v/>
      </c>
      <c r="M54" s="13">
        <f>L54-K54</f>
        <v/>
      </c>
      <c r="N54" s="13">
        <f>IF(J54&lt;=0.005,0,MIN(H54,J54-M54))</f>
        <v/>
      </c>
      <c r="O54" s="13">
        <f>ROUND(J54-M54-N54,2)</f>
        <v/>
      </c>
    </row>
    <row r="55">
      <c r="A55" s="11" t="n">
        <v>53</v>
      </c>
      <c r="B55" s="12">
        <f>EDATE(Inputs!$B$6,A55-1)</f>
        <v/>
      </c>
      <c r="C55" s="13">
        <f>G54</f>
        <v/>
      </c>
      <c r="D55" s="13">
        <f>IF(C55&lt;=0.005,0,ROUND(C55*Inputs!$B$8,2))</f>
        <v/>
      </c>
      <c r="E55" s="13">
        <f>IF(C55&lt;=0.005,0,MIN(Inputs!$B$7,C55+D55))</f>
        <v/>
      </c>
      <c r="F55" s="13">
        <f>E55-D55</f>
        <v/>
      </c>
      <c r="G55" s="13">
        <f>ROUND(C55-F55,2)</f>
        <v/>
      </c>
      <c r="H55" s="14" t="n">
        <v>0</v>
      </c>
      <c r="I55" s="11">
        <f>IF(H55=0,"",IF(A55&lt;2,"X not before month 2",IF(H55&lt;MAX(5000,Inputs!$B$7),"X below min",IF(H55&gt;MIN(5000000,0.75*J55),"X above max","OK"))))</f>
        <v/>
      </c>
      <c r="J55" s="13">
        <f>O54</f>
        <v/>
      </c>
      <c r="K55" s="13">
        <f>IF(J55&lt;=0.005,0,ROUND(J55*Inputs!$B$8,2))</f>
        <v/>
      </c>
      <c r="L55" s="13">
        <f>IF(J55&lt;=0.005,0,MIN(Inputs!$B$7,J55+K55))</f>
        <v/>
      </c>
      <c r="M55" s="13">
        <f>L55-K55</f>
        <v/>
      </c>
      <c r="N55" s="13">
        <f>IF(J55&lt;=0.005,0,MIN(H55,J55-M55))</f>
        <v/>
      </c>
      <c r="O55" s="13">
        <f>ROUND(J55-M55-N55,2)</f>
        <v/>
      </c>
    </row>
    <row r="56">
      <c r="A56" s="11" t="n">
        <v>54</v>
      </c>
      <c r="B56" s="12">
        <f>EDATE(Inputs!$B$6,A56-1)</f>
        <v/>
      </c>
      <c r="C56" s="13">
        <f>G55</f>
        <v/>
      </c>
      <c r="D56" s="13">
        <f>IF(C56&lt;=0.005,0,ROUND(C56*Inputs!$B$8,2))</f>
        <v/>
      </c>
      <c r="E56" s="13">
        <f>IF(C56&lt;=0.005,0,MIN(Inputs!$B$7,C56+D56))</f>
        <v/>
      </c>
      <c r="F56" s="13">
        <f>E56-D56</f>
        <v/>
      </c>
      <c r="G56" s="13">
        <f>ROUND(C56-F56,2)</f>
        <v/>
      </c>
      <c r="H56" s="14" t="n">
        <v>0</v>
      </c>
      <c r="I56" s="11">
        <f>IF(H56=0,"",IF(A56&lt;2,"X not before month 2",IF(H56&lt;MAX(5000,Inputs!$B$7),"X below min",IF(H56&gt;MIN(5000000,0.75*J56),"X above max","OK"))))</f>
        <v/>
      </c>
      <c r="J56" s="13">
        <f>O55</f>
        <v/>
      </c>
      <c r="K56" s="13">
        <f>IF(J56&lt;=0.005,0,ROUND(J56*Inputs!$B$8,2))</f>
        <v/>
      </c>
      <c r="L56" s="13">
        <f>IF(J56&lt;=0.005,0,MIN(Inputs!$B$7,J56+K56))</f>
        <v/>
      </c>
      <c r="M56" s="13">
        <f>L56-K56</f>
        <v/>
      </c>
      <c r="N56" s="13">
        <f>IF(J56&lt;=0.005,0,MIN(H56,J56-M56))</f>
        <v/>
      </c>
      <c r="O56" s="13">
        <f>ROUND(J56-M56-N56,2)</f>
        <v/>
      </c>
    </row>
    <row r="57">
      <c r="A57" s="11" t="n">
        <v>55</v>
      </c>
      <c r="B57" s="12">
        <f>EDATE(Inputs!$B$6,A57-1)</f>
        <v/>
      </c>
      <c r="C57" s="13">
        <f>G56</f>
        <v/>
      </c>
      <c r="D57" s="13">
        <f>IF(C57&lt;=0.005,0,ROUND(C57*Inputs!$B$8,2))</f>
        <v/>
      </c>
      <c r="E57" s="13">
        <f>IF(C57&lt;=0.005,0,MIN(Inputs!$B$7,C57+D57))</f>
        <v/>
      </c>
      <c r="F57" s="13">
        <f>E57-D57</f>
        <v/>
      </c>
      <c r="G57" s="13">
        <f>ROUND(C57-F57,2)</f>
        <v/>
      </c>
      <c r="H57" s="14" t="n">
        <v>0</v>
      </c>
      <c r="I57" s="11">
        <f>IF(H57=0,"",IF(A57&lt;2,"X not before month 2",IF(H57&lt;MAX(5000,Inputs!$B$7),"X below min",IF(H57&gt;MIN(5000000,0.75*J57),"X above max","OK"))))</f>
        <v/>
      </c>
      <c r="J57" s="13">
        <f>O56</f>
        <v/>
      </c>
      <c r="K57" s="13">
        <f>IF(J57&lt;=0.005,0,ROUND(J57*Inputs!$B$8,2))</f>
        <v/>
      </c>
      <c r="L57" s="13">
        <f>IF(J57&lt;=0.005,0,MIN(Inputs!$B$7,J57+K57))</f>
        <v/>
      </c>
      <c r="M57" s="13">
        <f>L57-K57</f>
        <v/>
      </c>
      <c r="N57" s="13">
        <f>IF(J57&lt;=0.005,0,MIN(H57,J57-M57))</f>
        <v/>
      </c>
      <c r="O57" s="13">
        <f>ROUND(J57-M57-N57,2)</f>
        <v/>
      </c>
    </row>
    <row r="58">
      <c r="A58" s="11" t="n">
        <v>56</v>
      </c>
      <c r="B58" s="12">
        <f>EDATE(Inputs!$B$6,A58-1)</f>
        <v/>
      </c>
      <c r="C58" s="13">
        <f>G57</f>
        <v/>
      </c>
      <c r="D58" s="13">
        <f>IF(C58&lt;=0.005,0,ROUND(C58*Inputs!$B$8,2))</f>
        <v/>
      </c>
      <c r="E58" s="13">
        <f>IF(C58&lt;=0.005,0,MIN(Inputs!$B$7,C58+D58))</f>
        <v/>
      </c>
      <c r="F58" s="13">
        <f>E58-D58</f>
        <v/>
      </c>
      <c r="G58" s="13">
        <f>ROUND(C58-F58,2)</f>
        <v/>
      </c>
      <c r="H58" s="14" t="n">
        <v>0</v>
      </c>
      <c r="I58" s="11">
        <f>IF(H58=0,"",IF(A58&lt;2,"X not before month 2",IF(H58&lt;MAX(5000,Inputs!$B$7),"X below min",IF(H58&gt;MIN(5000000,0.75*J58),"X above max","OK"))))</f>
        <v/>
      </c>
      <c r="J58" s="13">
        <f>O57</f>
        <v/>
      </c>
      <c r="K58" s="13">
        <f>IF(J58&lt;=0.005,0,ROUND(J58*Inputs!$B$8,2))</f>
        <v/>
      </c>
      <c r="L58" s="13">
        <f>IF(J58&lt;=0.005,0,MIN(Inputs!$B$7,J58+K58))</f>
        <v/>
      </c>
      <c r="M58" s="13">
        <f>L58-K58</f>
        <v/>
      </c>
      <c r="N58" s="13">
        <f>IF(J58&lt;=0.005,0,MIN(H58,J58-M58))</f>
        <v/>
      </c>
      <c r="O58" s="13">
        <f>ROUND(J58-M58-N58,2)</f>
        <v/>
      </c>
    </row>
    <row r="59">
      <c r="A59" s="11" t="n">
        <v>57</v>
      </c>
      <c r="B59" s="12">
        <f>EDATE(Inputs!$B$6,A59-1)</f>
        <v/>
      </c>
      <c r="C59" s="13">
        <f>G58</f>
        <v/>
      </c>
      <c r="D59" s="13">
        <f>IF(C59&lt;=0.005,0,ROUND(C59*Inputs!$B$8,2))</f>
        <v/>
      </c>
      <c r="E59" s="13">
        <f>IF(C59&lt;=0.005,0,MIN(Inputs!$B$7,C59+D59))</f>
        <v/>
      </c>
      <c r="F59" s="13">
        <f>E59-D59</f>
        <v/>
      </c>
      <c r="G59" s="13">
        <f>ROUND(C59-F59,2)</f>
        <v/>
      </c>
      <c r="H59" s="14" t="n">
        <v>0</v>
      </c>
      <c r="I59" s="11">
        <f>IF(H59=0,"",IF(A59&lt;2,"X not before month 2",IF(H59&lt;MAX(5000,Inputs!$B$7),"X below min",IF(H59&gt;MIN(5000000,0.75*J59),"X above max","OK"))))</f>
        <v/>
      </c>
      <c r="J59" s="13">
        <f>O58</f>
        <v/>
      </c>
      <c r="K59" s="13">
        <f>IF(J59&lt;=0.005,0,ROUND(J59*Inputs!$B$8,2))</f>
        <v/>
      </c>
      <c r="L59" s="13">
        <f>IF(J59&lt;=0.005,0,MIN(Inputs!$B$7,J59+K59))</f>
        <v/>
      </c>
      <c r="M59" s="13">
        <f>L59-K59</f>
        <v/>
      </c>
      <c r="N59" s="13">
        <f>IF(J59&lt;=0.005,0,MIN(H59,J59-M59))</f>
        <v/>
      </c>
      <c r="O59" s="13">
        <f>ROUND(J59-M59-N59,2)</f>
        <v/>
      </c>
    </row>
    <row r="60">
      <c r="A60" s="11" t="n">
        <v>58</v>
      </c>
      <c r="B60" s="12">
        <f>EDATE(Inputs!$B$6,A60-1)</f>
        <v/>
      </c>
      <c r="C60" s="13">
        <f>G59</f>
        <v/>
      </c>
      <c r="D60" s="13">
        <f>IF(C60&lt;=0.005,0,ROUND(C60*Inputs!$B$8,2))</f>
        <v/>
      </c>
      <c r="E60" s="13">
        <f>IF(C60&lt;=0.005,0,MIN(Inputs!$B$7,C60+D60))</f>
        <v/>
      </c>
      <c r="F60" s="13">
        <f>E60-D60</f>
        <v/>
      </c>
      <c r="G60" s="13">
        <f>ROUND(C60-F60,2)</f>
        <v/>
      </c>
      <c r="H60" s="14" t="n">
        <v>0</v>
      </c>
      <c r="I60" s="11">
        <f>IF(H60=0,"",IF(A60&lt;2,"X not before month 2",IF(H60&lt;MAX(5000,Inputs!$B$7),"X below min",IF(H60&gt;MIN(5000000,0.75*J60),"X above max","OK"))))</f>
        <v/>
      </c>
      <c r="J60" s="13">
        <f>O59</f>
        <v/>
      </c>
      <c r="K60" s="13">
        <f>IF(J60&lt;=0.005,0,ROUND(J60*Inputs!$B$8,2))</f>
        <v/>
      </c>
      <c r="L60" s="13">
        <f>IF(J60&lt;=0.005,0,MIN(Inputs!$B$7,J60+K60))</f>
        <v/>
      </c>
      <c r="M60" s="13">
        <f>L60-K60</f>
        <v/>
      </c>
      <c r="N60" s="13">
        <f>IF(J60&lt;=0.005,0,MIN(H60,J60-M60))</f>
        <v/>
      </c>
      <c r="O60" s="13">
        <f>ROUND(J60-M60-N60,2)</f>
        <v/>
      </c>
    </row>
    <row r="61">
      <c r="A61" s="11" t="n">
        <v>59</v>
      </c>
      <c r="B61" s="12">
        <f>EDATE(Inputs!$B$6,A61-1)</f>
        <v/>
      </c>
      <c r="C61" s="13">
        <f>G60</f>
        <v/>
      </c>
      <c r="D61" s="13">
        <f>IF(C61&lt;=0.005,0,ROUND(C61*Inputs!$B$8,2))</f>
        <v/>
      </c>
      <c r="E61" s="13">
        <f>IF(C61&lt;=0.005,0,MIN(Inputs!$B$7,C61+D61))</f>
        <v/>
      </c>
      <c r="F61" s="13">
        <f>E61-D61</f>
        <v/>
      </c>
      <c r="G61" s="13">
        <f>ROUND(C61-F61,2)</f>
        <v/>
      </c>
      <c r="H61" s="14" t="n">
        <v>0</v>
      </c>
      <c r="I61" s="11">
        <f>IF(H61=0,"",IF(A61&lt;2,"X not before month 2",IF(H61&lt;MAX(5000,Inputs!$B$7),"X below min",IF(H61&gt;MIN(5000000,0.75*J61),"X above max","OK"))))</f>
        <v/>
      </c>
      <c r="J61" s="13">
        <f>O60</f>
        <v/>
      </c>
      <c r="K61" s="13">
        <f>IF(J61&lt;=0.005,0,ROUND(J61*Inputs!$B$8,2))</f>
        <v/>
      </c>
      <c r="L61" s="13">
        <f>IF(J61&lt;=0.005,0,MIN(Inputs!$B$7,J61+K61))</f>
        <v/>
      </c>
      <c r="M61" s="13">
        <f>L61-K61</f>
        <v/>
      </c>
      <c r="N61" s="13">
        <f>IF(J61&lt;=0.005,0,MIN(H61,J61-M61))</f>
        <v/>
      </c>
      <c r="O61" s="13">
        <f>ROUND(J61-M61-N61,2)</f>
        <v/>
      </c>
    </row>
    <row r="62">
      <c r="A62" s="11" t="n">
        <v>60</v>
      </c>
      <c r="B62" s="12">
        <f>EDATE(Inputs!$B$6,A62-1)</f>
        <v/>
      </c>
      <c r="C62" s="13">
        <f>G61</f>
        <v/>
      </c>
      <c r="D62" s="13">
        <f>IF(C62&lt;=0.005,0,ROUND(C62*Inputs!$B$8,2))</f>
        <v/>
      </c>
      <c r="E62" s="13">
        <f>IF(C62&lt;=0.005,0,MIN(Inputs!$B$7,C62+D62))</f>
        <v/>
      </c>
      <c r="F62" s="13">
        <f>E62-D62</f>
        <v/>
      </c>
      <c r="G62" s="13">
        <f>ROUND(C62-F62,2)</f>
        <v/>
      </c>
      <c r="H62" s="14" t="n">
        <v>0</v>
      </c>
      <c r="I62" s="11">
        <f>IF(H62=0,"",IF(A62&lt;2,"X not before month 2",IF(H62&lt;MAX(5000,Inputs!$B$7),"X below min",IF(H62&gt;MIN(5000000,0.75*J62),"X above max","OK"))))</f>
        <v/>
      </c>
      <c r="J62" s="13">
        <f>O61</f>
        <v/>
      </c>
      <c r="K62" s="13">
        <f>IF(J62&lt;=0.005,0,ROUND(J62*Inputs!$B$8,2))</f>
        <v/>
      </c>
      <c r="L62" s="13">
        <f>IF(J62&lt;=0.005,0,MIN(Inputs!$B$7,J62+K62))</f>
        <v/>
      </c>
      <c r="M62" s="13">
        <f>L62-K62</f>
        <v/>
      </c>
      <c r="N62" s="13">
        <f>IF(J62&lt;=0.005,0,MIN(H62,J62-M62))</f>
        <v/>
      </c>
      <c r="O62" s="13">
        <f>ROUND(J62-M62-N62,2)</f>
        <v/>
      </c>
    </row>
    <row r="63">
      <c r="A63" s="11" t="n">
        <v>61</v>
      </c>
      <c r="B63" s="12">
        <f>EDATE(Inputs!$B$6,A63-1)</f>
        <v/>
      </c>
      <c r="C63" s="13">
        <f>G62</f>
        <v/>
      </c>
      <c r="D63" s="13">
        <f>IF(C63&lt;=0.005,0,ROUND(C63*Inputs!$B$8,2))</f>
        <v/>
      </c>
      <c r="E63" s="13">
        <f>IF(C63&lt;=0.005,0,MIN(Inputs!$B$7,C63+D63))</f>
        <v/>
      </c>
      <c r="F63" s="13">
        <f>E63-D63</f>
        <v/>
      </c>
      <c r="G63" s="13">
        <f>ROUND(C63-F63,2)</f>
        <v/>
      </c>
      <c r="H63" s="14" t="n">
        <v>0</v>
      </c>
      <c r="I63" s="11">
        <f>IF(H63=0,"",IF(A63&lt;2,"X not before month 2",IF(H63&lt;MAX(5000,Inputs!$B$7),"X below min",IF(H63&gt;MIN(5000000,0.75*J63),"X above max","OK"))))</f>
        <v/>
      </c>
      <c r="J63" s="13">
        <f>O62</f>
        <v/>
      </c>
      <c r="K63" s="13">
        <f>IF(J63&lt;=0.005,0,ROUND(J63*Inputs!$B$8,2))</f>
        <v/>
      </c>
      <c r="L63" s="13">
        <f>IF(J63&lt;=0.005,0,MIN(Inputs!$B$7,J63+K63))</f>
        <v/>
      </c>
      <c r="M63" s="13">
        <f>L63-K63</f>
        <v/>
      </c>
      <c r="N63" s="13">
        <f>IF(J63&lt;=0.005,0,MIN(H63,J63-M63))</f>
        <v/>
      </c>
      <c r="O63" s="13">
        <f>ROUND(J63-M63-N63,2)</f>
        <v/>
      </c>
    </row>
    <row r="64">
      <c r="A64" s="11" t="n">
        <v>62</v>
      </c>
      <c r="B64" s="12">
        <f>EDATE(Inputs!$B$6,A64-1)</f>
        <v/>
      </c>
      <c r="C64" s="13">
        <f>G63</f>
        <v/>
      </c>
      <c r="D64" s="13">
        <f>IF(C64&lt;=0.005,0,ROUND(C64*Inputs!$B$8,2))</f>
        <v/>
      </c>
      <c r="E64" s="13">
        <f>IF(C64&lt;=0.005,0,MIN(Inputs!$B$7,C64+D64))</f>
        <v/>
      </c>
      <c r="F64" s="13">
        <f>E64-D64</f>
        <v/>
      </c>
      <c r="G64" s="13">
        <f>ROUND(C64-F64,2)</f>
        <v/>
      </c>
      <c r="H64" s="14" t="n">
        <v>0</v>
      </c>
      <c r="I64" s="11">
        <f>IF(H64=0,"",IF(A64&lt;2,"X not before month 2",IF(H64&lt;MAX(5000,Inputs!$B$7),"X below min",IF(H64&gt;MIN(5000000,0.75*J64),"X above max","OK"))))</f>
        <v/>
      </c>
      <c r="J64" s="13">
        <f>O63</f>
        <v/>
      </c>
      <c r="K64" s="13">
        <f>IF(J64&lt;=0.005,0,ROUND(J64*Inputs!$B$8,2))</f>
        <v/>
      </c>
      <c r="L64" s="13">
        <f>IF(J64&lt;=0.005,0,MIN(Inputs!$B$7,J64+K64))</f>
        <v/>
      </c>
      <c r="M64" s="13">
        <f>L64-K64</f>
        <v/>
      </c>
      <c r="N64" s="13">
        <f>IF(J64&lt;=0.005,0,MIN(H64,J64-M64))</f>
        <v/>
      </c>
      <c r="O64" s="13">
        <f>ROUND(J64-M64-N64,2)</f>
        <v/>
      </c>
    </row>
    <row r="65">
      <c r="A65" s="11" t="n">
        <v>63</v>
      </c>
      <c r="B65" s="12">
        <f>EDATE(Inputs!$B$6,A65-1)</f>
        <v/>
      </c>
      <c r="C65" s="13">
        <f>G64</f>
        <v/>
      </c>
      <c r="D65" s="13">
        <f>IF(C65&lt;=0.005,0,ROUND(C65*Inputs!$B$8,2))</f>
        <v/>
      </c>
      <c r="E65" s="13">
        <f>IF(C65&lt;=0.005,0,MIN(Inputs!$B$7,C65+D65))</f>
        <v/>
      </c>
      <c r="F65" s="13">
        <f>E65-D65</f>
        <v/>
      </c>
      <c r="G65" s="13">
        <f>ROUND(C65-F65,2)</f>
        <v/>
      </c>
      <c r="H65" s="14" t="n">
        <v>0</v>
      </c>
      <c r="I65" s="11">
        <f>IF(H65=0,"",IF(A65&lt;2,"X not before month 2",IF(H65&lt;MAX(5000,Inputs!$B$7),"X below min",IF(H65&gt;MIN(5000000,0.75*J65),"X above max","OK"))))</f>
        <v/>
      </c>
      <c r="J65" s="13">
        <f>O64</f>
        <v/>
      </c>
      <c r="K65" s="13">
        <f>IF(J65&lt;=0.005,0,ROUND(J65*Inputs!$B$8,2))</f>
        <v/>
      </c>
      <c r="L65" s="13">
        <f>IF(J65&lt;=0.005,0,MIN(Inputs!$B$7,J65+K65))</f>
        <v/>
      </c>
      <c r="M65" s="13">
        <f>L65-K65</f>
        <v/>
      </c>
      <c r="N65" s="13">
        <f>IF(J65&lt;=0.005,0,MIN(H65,J65-M65))</f>
        <v/>
      </c>
      <c r="O65" s="13">
        <f>ROUND(J65-M65-N65,2)</f>
        <v/>
      </c>
    </row>
    <row r="66">
      <c r="A66" s="11" t="n">
        <v>64</v>
      </c>
      <c r="B66" s="12">
        <f>EDATE(Inputs!$B$6,A66-1)</f>
        <v/>
      </c>
      <c r="C66" s="13">
        <f>G65</f>
        <v/>
      </c>
      <c r="D66" s="13">
        <f>IF(C66&lt;=0.005,0,ROUND(C66*Inputs!$B$8,2))</f>
        <v/>
      </c>
      <c r="E66" s="13">
        <f>IF(C66&lt;=0.005,0,MIN(Inputs!$B$7,C66+D66))</f>
        <v/>
      </c>
      <c r="F66" s="13">
        <f>E66-D66</f>
        <v/>
      </c>
      <c r="G66" s="13">
        <f>ROUND(C66-F66,2)</f>
        <v/>
      </c>
      <c r="H66" s="14" t="n">
        <v>0</v>
      </c>
      <c r="I66" s="11">
        <f>IF(H66=0,"",IF(A66&lt;2,"X not before month 2",IF(H66&lt;MAX(5000,Inputs!$B$7),"X below min",IF(H66&gt;MIN(5000000,0.75*J66),"X above max","OK"))))</f>
        <v/>
      </c>
      <c r="J66" s="13">
        <f>O65</f>
        <v/>
      </c>
      <c r="K66" s="13">
        <f>IF(J66&lt;=0.005,0,ROUND(J66*Inputs!$B$8,2))</f>
        <v/>
      </c>
      <c r="L66" s="13">
        <f>IF(J66&lt;=0.005,0,MIN(Inputs!$B$7,J66+K66))</f>
        <v/>
      </c>
      <c r="M66" s="13">
        <f>L66-K66</f>
        <v/>
      </c>
      <c r="N66" s="13">
        <f>IF(J66&lt;=0.005,0,MIN(H66,J66-M66))</f>
        <v/>
      </c>
      <c r="O66" s="13">
        <f>ROUND(J66-M66-N66,2)</f>
        <v/>
      </c>
    </row>
    <row r="67">
      <c r="A67" s="11" t="n">
        <v>65</v>
      </c>
      <c r="B67" s="12">
        <f>EDATE(Inputs!$B$6,A67-1)</f>
        <v/>
      </c>
      <c r="C67" s="13">
        <f>G66</f>
        <v/>
      </c>
      <c r="D67" s="13">
        <f>IF(C67&lt;=0.005,0,ROUND(C67*Inputs!$B$8,2))</f>
        <v/>
      </c>
      <c r="E67" s="13">
        <f>IF(C67&lt;=0.005,0,MIN(Inputs!$B$7,C67+D67))</f>
        <v/>
      </c>
      <c r="F67" s="13">
        <f>E67-D67</f>
        <v/>
      </c>
      <c r="G67" s="13">
        <f>ROUND(C67-F67,2)</f>
        <v/>
      </c>
      <c r="H67" s="14" t="n">
        <v>0</v>
      </c>
      <c r="I67" s="11">
        <f>IF(H67=0,"",IF(A67&lt;2,"X not before month 2",IF(H67&lt;MAX(5000,Inputs!$B$7),"X below min",IF(H67&gt;MIN(5000000,0.75*J67),"X above max","OK"))))</f>
        <v/>
      </c>
      <c r="J67" s="13">
        <f>O66</f>
        <v/>
      </c>
      <c r="K67" s="13">
        <f>IF(J67&lt;=0.005,0,ROUND(J67*Inputs!$B$8,2))</f>
        <v/>
      </c>
      <c r="L67" s="13">
        <f>IF(J67&lt;=0.005,0,MIN(Inputs!$B$7,J67+K67))</f>
        <v/>
      </c>
      <c r="M67" s="13">
        <f>L67-K67</f>
        <v/>
      </c>
      <c r="N67" s="13">
        <f>IF(J67&lt;=0.005,0,MIN(H67,J67-M67))</f>
        <v/>
      </c>
      <c r="O67" s="13">
        <f>ROUND(J67-M67-N67,2)</f>
        <v/>
      </c>
    </row>
    <row r="68">
      <c r="A68" s="11" t="n">
        <v>66</v>
      </c>
      <c r="B68" s="12">
        <f>EDATE(Inputs!$B$6,A68-1)</f>
        <v/>
      </c>
      <c r="C68" s="13">
        <f>G67</f>
        <v/>
      </c>
      <c r="D68" s="13">
        <f>IF(C68&lt;=0.005,0,ROUND(C68*Inputs!$B$8,2))</f>
        <v/>
      </c>
      <c r="E68" s="13">
        <f>IF(C68&lt;=0.005,0,MIN(Inputs!$B$7,C68+D68))</f>
        <v/>
      </c>
      <c r="F68" s="13">
        <f>E68-D68</f>
        <v/>
      </c>
      <c r="G68" s="13">
        <f>ROUND(C68-F68,2)</f>
        <v/>
      </c>
      <c r="H68" s="14" t="n">
        <v>0</v>
      </c>
      <c r="I68" s="11">
        <f>IF(H68=0,"",IF(A68&lt;2,"X not before month 2",IF(H68&lt;MAX(5000,Inputs!$B$7),"X below min",IF(H68&gt;MIN(5000000,0.75*J68),"X above max","OK"))))</f>
        <v/>
      </c>
      <c r="J68" s="13">
        <f>O67</f>
        <v/>
      </c>
      <c r="K68" s="13">
        <f>IF(J68&lt;=0.005,0,ROUND(J68*Inputs!$B$8,2))</f>
        <v/>
      </c>
      <c r="L68" s="13">
        <f>IF(J68&lt;=0.005,0,MIN(Inputs!$B$7,J68+K68))</f>
        <v/>
      </c>
      <c r="M68" s="13">
        <f>L68-K68</f>
        <v/>
      </c>
      <c r="N68" s="13">
        <f>IF(J68&lt;=0.005,0,MIN(H68,J68-M68))</f>
        <v/>
      </c>
      <c r="O68" s="13">
        <f>ROUND(J68-M68-N68,2)</f>
        <v/>
      </c>
    </row>
    <row r="69">
      <c r="A69" s="11" t="n">
        <v>67</v>
      </c>
      <c r="B69" s="12">
        <f>EDATE(Inputs!$B$6,A69-1)</f>
        <v/>
      </c>
      <c r="C69" s="13">
        <f>G68</f>
        <v/>
      </c>
      <c r="D69" s="13">
        <f>IF(C69&lt;=0.005,0,ROUND(C69*Inputs!$B$8,2))</f>
        <v/>
      </c>
      <c r="E69" s="13">
        <f>IF(C69&lt;=0.005,0,MIN(Inputs!$B$7,C69+D69))</f>
        <v/>
      </c>
      <c r="F69" s="13">
        <f>E69-D69</f>
        <v/>
      </c>
      <c r="G69" s="13">
        <f>ROUND(C69-F69,2)</f>
        <v/>
      </c>
      <c r="H69" s="14" t="n">
        <v>0</v>
      </c>
      <c r="I69" s="11">
        <f>IF(H69=0,"",IF(A69&lt;2,"X not before month 2",IF(H69&lt;MAX(5000,Inputs!$B$7),"X below min",IF(H69&gt;MIN(5000000,0.75*J69),"X above max","OK"))))</f>
        <v/>
      </c>
      <c r="J69" s="13">
        <f>O68</f>
        <v/>
      </c>
      <c r="K69" s="13">
        <f>IF(J69&lt;=0.005,0,ROUND(J69*Inputs!$B$8,2))</f>
        <v/>
      </c>
      <c r="L69" s="13">
        <f>IF(J69&lt;=0.005,0,MIN(Inputs!$B$7,J69+K69))</f>
        <v/>
      </c>
      <c r="M69" s="13">
        <f>L69-K69</f>
        <v/>
      </c>
      <c r="N69" s="13">
        <f>IF(J69&lt;=0.005,0,MIN(H69,J69-M69))</f>
        <v/>
      </c>
      <c r="O69" s="13">
        <f>ROUND(J69-M69-N69,2)</f>
        <v/>
      </c>
    </row>
    <row r="70">
      <c r="A70" s="11" t="n">
        <v>68</v>
      </c>
      <c r="B70" s="12">
        <f>EDATE(Inputs!$B$6,A70-1)</f>
        <v/>
      </c>
      <c r="C70" s="13">
        <f>G69</f>
        <v/>
      </c>
      <c r="D70" s="13">
        <f>IF(C70&lt;=0.005,0,ROUND(C70*Inputs!$B$8,2))</f>
        <v/>
      </c>
      <c r="E70" s="13">
        <f>IF(C70&lt;=0.005,0,MIN(Inputs!$B$7,C70+D70))</f>
        <v/>
      </c>
      <c r="F70" s="13">
        <f>E70-D70</f>
        <v/>
      </c>
      <c r="G70" s="13">
        <f>ROUND(C70-F70,2)</f>
        <v/>
      </c>
      <c r="H70" s="14" t="n">
        <v>0</v>
      </c>
      <c r="I70" s="11">
        <f>IF(H70=0,"",IF(A70&lt;2,"X not before month 2",IF(H70&lt;MAX(5000,Inputs!$B$7),"X below min",IF(H70&gt;MIN(5000000,0.75*J70),"X above max","OK"))))</f>
        <v/>
      </c>
      <c r="J70" s="13">
        <f>O69</f>
        <v/>
      </c>
      <c r="K70" s="13">
        <f>IF(J70&lt;=0.005,0,ROUND(J70*Inputs!$B$8,2))</f>
        <v/>
      </c>
      <c r="L70" s="13">
        <f>IF(J70&lt;=0.005,0,MIN(Inputs!$B$7,J70+K70))</f>
        <v/>
      </c>
      <c r="M70" s="13">
        <f>L70-K70</f>
        <v/>
      </c>
      <c r="N70" s="13">
        <f>IF(J70&lt;=0.005,0,MIN(H70,J70-M70))</f>
        <v/>
      </c>
      <c r="O70" s="13">
        <f>ROUND(J70-M70-N70,2)</f>
        <v/>
      </c>
    </row>
    <row r="71">
      <c r="A71" s="11" t="n">
        <v>69</v>
      </c>
      <c r="B71" s="12">
        <f>EDATE(Inputs!$B$6,A71-1)</f>
        <v/>
      </c>
      <c r="C71" s="13">
        <f>G70</f>
        <v/>
      </c>
      <c r="D71" s="13">
        <f>IF(C71&lt;=0.005,0,ROUND(C71*Inputs!$B$8,2))</f>
        <v/>
      </c>
      <c r="E71" s="13">
        <f>IF(C71&lt;=0.005,0,MIN(Inputs!$B$7,C71+D71))</f>
        <v/>
      </c>
      <c r="F71" s="13">
        <f>E71-D71</f>
        <v/>
      </c>
      <c r="G71" s="13">
        <f>ROUND(C71-F71,2)</f>
        <v/>
      </c>
      <c r="H71" s="14" t="n">
        <v>0</v>
      </c>
      <c r="I71" s="11">
        <f>IF(H71=0,"",IF(A71&lt;2,"X not before month 2",IF(H71&lt;MAX(5000,Inputs!$B$7),"X below min",IF(H71&gt;MIN(5000000,0.75*J71),"X above max","OK"))))</f>
        <v/>
      </c>
      <c r="J71" s="13">
        <f>O70</f>
        <v/>
      </c>
      <c r="K71" s="13">
        <f>IF(J71&lt;=0.005,0,ROUND(J71*Inputs!$B$8,2))</f>
        <v/>
      </c>
      <c r="L71" s="13">
        <f>IF(J71&lt;=0.005,0,MIN(Inputs!$B$7,J71+K71))</f>
        <v/>
      </c>
      <c r="M71" s="13">
        <f>L71-K71</f>
        <v/>
      </c>
      <c r="N71" s="13">
        <f>IF(J71&lt;=0.005,0,MIN(H71,J71-M71))</f>
        <v/>
      </c>
      <c r="O71" s="13">
        <f>ROUND(J71-M71-N71,2)</f>
        <v/>
      </c>
    </row>
    <row r="72">
      <c r="A72" s="11" t="n">
        <v>70</v>
      </c>
      <c r="B72" s="12">
        <f>EDATE(Inputs!$B$6,A72-1)</f>
        <v/>
      </c>
      <c r="C72" s="13">
        <f>G71</f>
        <v/>
      </c>
      <c r="D72" s="13">
        <f>IF(C72&lt;=0.005,0,ROUND(C72*Inputs!$B$8,2))</f>
        <v/>
      </c>
      <c r="E72" s="13">
        <f>IF(C72&lt;=0.005,0,MIN(Inputs!$B$7,C72+D72))</f>
        <v/>
      </c>
      <c r="F72" s="13">
        <f>E72-D72</f>
        <v/>
      </c>
      <c r="G72" s="13">
        <f>ROUND(C72-F72,2)</f>
        <v/>
      </c>
      <c r="H72" s="14" t="n">
        <v>0</v>
      </c>
      <c r="I72" s="11">
        <f>IF(H72=0,"",IF(A72&lt;2,"X not before month 2",IF(H72&lt;MAX(5000,Inputs!$B$7),"X below min",IF(H72&gt;MIN(5000000,0.75*J72),"X above max","OK"))))</f>
        <v/>
      </c>
      <c r="J72" s="13">
        <f>O71</f>
        <v/>
      </c>
      <c r="K72" s="13">
        <f>IF(J72&lt;=0.005,0,ROUND(J72*Inputs!$B$8,2))</f>
        <v/>
      </c>
      <c r="L72" s="13">
        <f>IF(J72&lt;=0.005,0,MIN(Inputs!$B$7,J72+K72))</f>
        <v/>
      </c>
      <c r="M72" s="13">
        <f>L72-K72</f>
        <v/>
      </c>
      <c r="N72" s="13">
        <f>IF(J72&lt;=0.005,0,MIN(H72,J72-M72))</f>
        <v/>
      </c>
      <c r="O72" s="13">
        <f>ROUND(J72-M72-N72,2)</f>
        <v/>
      </c>
    </row>
    <row r="73">
      <c r="A73" s="11" t="n">
        <v>71</v>
      </c>
      <c r="B73" s="12">
        <f>EDATE(Inputs!$B$6,A73-1)</f>
        <v/>
      </c>
      <c r="C73" s="13">
        <f>G72</f>
        <v/>
      </c>
      <c r="D73" s="13">
        <f>IF(C73&lt;=0.005,0,ROUND(C73*Inputs!$B$8,2))</f>
        <v/>
      </c>
      <c r="E73" s="13">
        <f>IF(C73&lt;=0.005,0,MIN(Inputs!$B$7,C73+D73))</f>
        <v/>
      </c>
      <c r="F73" s="13">
        <f>E73-D73</f>
        <v/>
      </c>
      <c r="G73" s="13">
        <f>ROUND(C73-F73,2)</f>
        <v/>
      </c>
      <c r="H73" s="14" t="n">
        <v>0</v>
      </c>
      <c r="I73" s="11">
        <f>IF(H73=0,"",IF(A73&lt;2,"X not before month 2",IF(H73&lt;MAX(5000,Inputs!$B$7),"X below min",IF(H73&gt;MIN(5000000,0.75*J73),"X above max","OK"))))</f>
        <v/>
      </c>
      <c r="J73" s="13">
        <f>O72</f>
        <v/>
      </c>
      <c r="K73" s="13">
        <f>IF(J73&lt;=0.005,0,ROUND(J73*Inputs!$B$8,2))</f>
        <v/>
      </c>
      <c r="L73" s="13">
        <f>IF(J73&lt;=0.005,0,MIN(Inputs!$B$7,J73+K73))</f>
        <v/>
      </c>
      <c r="M73" s="13">
        <f>L73-K73</f>
        <v/>
      </c>
      <c r="N73" s="13">
        <f>IF(J73&lt;=0.005,0,MIN(H73,J73-M73))</f>
        <v/>
      </c>
      <c r="O73" s="13">
        <f>ROUND(J73-M73-N73,2)</f>
        <v/>
      </c>
    </row>
    <row r="74">
      <c r="A74" s="11" t="n">
        <v>72</v>
      </c>
      <c r="B74" s="12">
        <f>EDATE(Inputs!$B$6,A74-1)</f>
        <v/>
      </c>
      <c r="C74" s="13">
        <f>G73</f>
        <v/>
      </c>
      <c r="D74" s="13">
        <f>IF(C74&lt;=0.005,0,ROUND(C74*Inputs!$B$8,2))</f>
        <v/>
      </c>
      <c r="E74" s="13">
        <f>IF(C74&lt;=0.005,0,MIN(Inputs!$B$7,C74+D74))</f>
        <v/>
      </c>
      <c r="F74" s="13">
        <f>E74-D74</f>
        <v/>
      </c>
      <c r="G74" s="13">
        <f>ROUND(C74-F74,2)</f>
        <v/>
      </c>
      <c r="H74" s="14" t="n">
        <v>0</v>
      </c>
      <c r="I74" s="11">
        <f>IF(H74=0,"",IF(A74&lt;2,"X not before month 2",IF(H74&lt;MAX(5000,Inputs!$B$7),"X below min",IF(H74&gt;MIN(5000000,0.75*J74),"X above max","OK"))))</f>
        <v/>
      </c>
      <c r="J74" s="13">
        <f>O73</f>
        <v/>
      </c>
      <c r="K74" s="13">
        <f>IF(J74&lt;=0.005,0,ROUND(J74*Inputs!$B$8,2))</f>
        <v/>
      </c>
      <c r="L74" s="13">
        <f>IF(J74&lt;=0.005,0,MIN(Inputs!$B$7,J74+K74))</f>
        <v/>
      </c>
      <c r="M74" s="13">
        <f>L74-K74</f>
        <v/>
      </c>
      <c r="N74" s="13">
        <f>IF(J74&lt;=0.005,0,MIN(H74,J74-M74))</f>
        <v/>
      </c>
      <c r="O74" s="13">
        <f>ROUND(J74-M74-N74,2)</f>
        <v/>
      </c>
    </row>
    <row r="75">
      <c r="A75" s="11" t="n">
        <v>73</v>
      </c>
      <c r="B75" s="12">
        <f>EDATE(Inputs!$B$6,A75-1)</f>
        <v/>
      </c>
      <c r="C75" s="13">
        <f>G74</f>
        <v/>
      </c>
      <c r="D75" s="13">
        <f>IF(C75&lt;=0.005,0,ROUND(C75*Inputs!$B$8,2))</f>
        <v/>
      </c>
      <c r="E75" s="13">
        <f>IF(C75&lt;=0.005,0,MIN(Inputs!$B$7,C75+D75))</f>
        <v/>
      </c>
      <c r="F75" s="13">
        <f>E75-D75</f>
        <v/>
      </c>
      <c r="G75" s="13">
        <f>ROUND(C75-F75,2)</f>
        <v/>
      </c>
      <c r="H75" s="14" t="n">
        <v>0</v>
      </c>
      <c r="I75" s="11">
        <f>IF(H75=0,"",IF(A75&lt;2,"X not before month 2",IF(H75&lt;MAX(5000,Inputs!$B$7),"X below min",IF(H75&gt;MIN(5000000,0.75*J75),"X above max","OK"))))</f>
        <v/>
      </c>
      <c r="J75" s="13">
        <f>O74</f>
        <v/>
      </c>
      <c r="K75" s="13">
        <f>IF(J75&lt;=0.005,0,ROUND(J75*Inputs!$B$8,2))</f>
        <v/>
      </c>
      <c r="L75" s="13">
        <f>IF(J75&lt;=0.005,0,MIN(Inputs!$B$7,J75+K75))</f>
        <v/>
      </c>
      <c r="M75" s="13">
        <f>L75-K75</f>
        <v/>
      </c>
      <c r="N75" s="13">
        <f>IF(J75&lt;=0.005,0,MIN(H75,J75-M75))</f>
        <v/>
      </c>
      <c r="O75" s="13">
        <f>ROUND(J75-M75-N75,2)</f>
        <v/>
      </c>
    </row>
    <row r="76">
      <c r="A76" s="11" t="n">
        <v>74</v>
      </c>
      <c r="B76" s="12">
        <f>EDATE(Inputs!$B$6,A76-1)</f>
        <v/>
      </c>
      <c r="C76" s="13">
        <f>G75</f>
        <v/>
      </c>
      <c r="D76" s="13">
        <f>IF(C76&lt;=0.005,0,ROUND(C76*Inputs!$B$8,2))</f>
        <v/>
      </c>
      <c r="E76" s="13">
        <f>IF(C76&lt;=0.005,0,MIN(Inputs!$B$7,C76+D76))</f>
        <v/>
      </c>
      <c r="F76" s="13">
        <f>E76-D76</f>
        <v/>
      </c>
      <c r="G76" s="13">
        <f>ROUND(C76-F76,2)</f>
        <v/>
      </c>
      <c r="H76" s="14" t="n">
        <v>0</v>
      </c>
      <c r="I76" s="11">
        <f>IF(H76=0,"",IF(A76&lt;2,"X not before month 2",IF(H76&lt;MAX(5000,Inputs!$B$7),"X below min",IF(H76&gt;MIN(5000000,0.75*J76),"X above max","OK"))))</f>
        <v/>
      </c>
      <c r="J76" s="13">
        <f>O75</f>
        <v/>
      </c>
      <c r="K76" s="13">
        <f>IF(J76&lt;=0.005,0,ROUND(J76*Inputs!$B$8,2))</f>
        <v/>
      </c>
      <c r="L76" s="13">
        <f>IF(J76&lt;=0.005,0,MIN(Inputs!$B$7,J76+K76))</f>
        <v/>
      </c>
      <c r="M76" s="13">
        <f>L76-K76</f>
        <v/>
      </c>
      <c r="N76" s="13">
        <f>IF(J76&lt;=0.005,0,MIN(H76,J76-M76))</f>
        <v/>
      </c>
      <c r="O76" s="13">
        <f>ROUND(J76-M76-N76,2)</f>
        <v/>
      </c>
    </row>
    <row r="77">
      <c r="A77" s="11" t="n">
        <v>75</v>
      </c>
      <c r="B77" s="12">
        <f>EDATE(Inputs!$B$6,A77-1)</f>
        <v/>
      </c>
      <c r="C77" s="13">
        <f>G76</f>
        <v/>
      </c>
      <c r="D77" s="13">
        <f>IF(C77&lt;=0.005,0,ROUND(C77*Inputs!$B$8,2))</f>
        <v/>
      </c>
      <c r="E77" s="13">
        <f>IF(C77&lt;=0.005,0,MIN(Inputs!$B$7,C77+D77))</f>
        <v/>
      </c>
      <c r="F77" s="13">
        <f>E77-D77</f>
        <v/>
      </c>
      <c r="G77" s="13">
        <f>ROUND(C77-F77,2)</f>
        <v/>
      </c>
      <c r="H77" s="14" t="n">
        <v>0</v>
      </c>
      <c r="I77" s="11">
        <f>IF(H77=0,"",IF(A77&lt;2,"X not before month 2",IF(H77&lt;MAX(5000,Inputs!$B$7),"X below min",IF(H77&gt;MIN(5000000,0.75*J77),"X above max","OK"))))</f>
        <v/>
      </c>
      <c r="J77" s="13">
        <f>O76</f>
        <v/>
      </c>
      <c r="K77" s="13">
        <f>IF(J77&lt;=0.005,0,ROUND(J77*Inputs!$B$8,2))</f>
        <v/>
      </c>
      <c r="L77" s="13">
        <f>IF(J77&lt;=0.005,0,MIN(Inputs!$B$7,J77+K77))</f>
        <v/>
      </c>
      <c r="M77" s="13">
        <f>L77-K77</f>
        <v/>
      </c>
      <c r="N77" s="13">
        <f>IF(J77&lt;=0.005,0,MIN(H77,J77-M77))</f>
        <v/>
      </c>
      <c r="O77" s="13">
        <f>ROUND(J77-M77-N77,2)</f>
        <v/>
      </c>
    </row>
    <row r="78">
      <c r="A78" s="11" t="n">
        <v>76</v>
      </c>
      <c r="B78" s="12">
        <f>EDATE(Inputs!$B$6,A78-1)</f>
        <v/>
      </c>
      <c r="C78" s="13">
        <f>G77</f>
        <v/>
      </c>
      <c r="D78" s="13">
        <f>IF(C78&lt;=0.005,0,ROUND(C78*Inputs!$B$8,2))</f>
        <v/>
      </c>
      <c r="E78" s="13">
        <f>IF(C78&lt;=0.005,0,MIN(Inputs!$B$7,C78+D78))</f>
        <v/>
      </c>
      <c r="F78" s="13">
        <f>E78-D78</f>
        <v/>
      </c>
      <c r="G78" s="13">
        <f>ROUND(C78-F78,2)</f>
        <v/>
      </c>
      <c r="H78" s="14" t="n">
        <v>0</v>
      </c>
      <c r="I78" s="11">
        <f>IF(H78=0,"",IF(A78&lt;2,"X not before month 2",IF(H78&lt;MAX(5000,Inputs!$B$7),"X below min",IF(H78&gt;MIN(5000000,0.75*J78),"X above max","OK"))))</f>
        <v/>
      </c>
      <c r="J78" s="13">
        <f>O77</f>
        <v/>
      </c>
      <c r="K78" s="13">
        <f>IF(J78&lt;=0.005,0,ROUND(J78*Inputs!$B$8,2))</f>
        <v/>
      </c>
      <c r="L78" s="13">
        <f>IF(J78&lt;=0.005,0,MIN(Inputs!$B$7,J78+K78))</f>
        <v/>
      </c>
      <c r="M78" s="13">
        <f>L78-K78</f>
        <v/>
      </c>
      <c r="N78" s="13">
        <f>IF(J78&lt;=0.005,0,MIN(H78,J78-M78))</f>
        <v/>
      </c>
      <c r="O78" s="13">
        <f>ROUND(J78-M78-N78,2)</f>
        <v/>
      </c>
    </row>
    <row r="79">
      <c r="A79" s="11" t="n">
        <v>77</v>
      </c>
      <c r="B79" s="12">
        <f>EDATE(Inputs!$B$6,A79-1)</f>
        <v/>
      </c>
      <c r="C79" s="13">
        <f>G78</f>
        <v/>
      </c>
      <c r="D79" s="13">
        <f>IF(C79&lt;=0.005,0,ROUND(C79*Inputs!$B$8,2))</f>
        <v/>
      </c>
      <c r="E79" s="13">
        <f>IF(C79&lt;=0.005,0,MIN(Inputs!$B$7,C79+D79))</f>
        <v/>
      </c>
      <c r="F79" s="13">
        <f>E79-D79</f>
        <v/>
      </c>
      <c r="G79" s="13">
        <f>ROUND(C79-F79,2)</f>
        <v/>
      </c>
      <c r="H79" s="14" t="n">
        <v>0</v>
      </c>
      <c r="I79" s="11">
        <f>IF(H79=0,"",IF(A79&lt;2,"X not before month 2",IF(H79&lt;MAX(5000,Inputs!$B$7),"X below min",IF(H79&gt;MIN(5000000,0.75*J79),"X above max","OK"))))</f>
        <v/>
      </c>
      <c r="J79" s="13">
        <f>O78</f>
        <v/>
      </c>
      <c r="K79" s="13">
        <f>IF(J79&lt;=0.005,0,ROUND(J79*Inputs!$B$8,2))</f>
        <v/>
      </c>
      <c r="L79" s="13">
        <f>IF(J79&lt;=0.005,0,MIN(Inputs!$B$7,J79+K79))</f>
        <v/>
      </c>
      <c r="M79" s="13">
        <f>L79-K79</f>
        <v/>
      </c>
      <c r="N79" s="13">
        <f>IF(J79&lt;=0.005,0,MIN(H79,J79-M79))</f>
        <v/>
      </c>
      <c r="O79" s="13">
        <f>ROUND(J79-M79-N79,2)</f>
        <v/>
      </c>
    </row>
    <row r="80">
      <c r="A80" s="11" t="n">
        <v>78</v>
      </c>
      <c r="B80" s="12">
        <f>EDATE(Inputs!$B$6,A80-1)</f>
        <v/>
      </c>
      <c r="C80" s="13">
        <f>G79</f>
        <v/>
      </c>
      <c r="D80" s="13">
        <f>IF(C80&lt;=0.005,0,ROUND(C80*Inputs!$B$8,2))</f>
        <v/>
      </c>
      <c r="E80" s="13">
        <f>IF(C80&lt;=0.005,0,MIN(Inputs!$B$7,C80+D80))</f>
        <v/>
      </c>
      <c r="F80" s="13">
        <f>E80-D80</f>
        <v/>
      </c>
      <c r="G80" s="13">
        <f>ROUND(C80-F80,2)</f>
        <v/>
      </c>
      <c r="H80" s="14" t="n">
        <v>0</v>
      </c>
      <c r="I80" s="11">
        <f>IF(H80=0,"",IF(A80&lt;2,"X not before month 2",IF(H80&lt;MAX(5000,Inputs!$B$7),"X below min",IF(H80&gt;MIN(5000000,0.75*J80),"X above max","OK"))))</f>
        <v/>
      </c>
      <c r="J80" s="13">
        <f>O79</f>
        <v/>
      </c>
      <c r="K80" s="13">
        <f>IF(J80&lt;=0.005,0,ROUND(J80*Inputs!$B$8,2))</f>
        <v/>
      </c>
      <c r="L80" s="13">
        <f>IF(J80&lt;=0.005,0,MIN(Inputs!$B$7,J80+K80))</f>
        <v/>
      </c>
      <c r="M80" s="13">
        <f>L80-K80</f>
        <v/>
      </c>
      <c r="N80" s="13">
        <f>IF(J80&lt;=0.005,0,MIN(H80,J80-M80))</f>
        <v/>
      </c>
      <c r="O80" s="13">
        <f>ROUND(J80-M80-N80,2)</f>
        <v/>
      </c>
    </row>
    <row r="81">
      <c r="A81" s="11" t="n">
        <v>79</v>
      </c>
      <c r="B81" s="12">
        <f>EDATE(Inputs!$B$6,A81-1)</f>
        <v/>
      </c>
      <c r="C81" s="13">
        <f>G80</f>
        <v/>
      </c>
      <c r="D81" s="13">
        <f>IF(C81&lt;=0.005,0,ROUND(C81*Inputs!$B$8,2))</f>
        <v/>
      </c>
      <c r="E81" s="13">
        <f>IF(C81&lt;=0.005,0,MIN(Inputs!$B$7,C81+D81))</f>
        <v/>
      </c>
      <c r="F81" s="13">
        <f>E81-D81</f>
        <v/>
      </c>
      <c r="G81" s="13">
        <f>ROUND(C81-F81,2)</f>
        <v/>
      </c>
      <c r="H81" s="14" t="n">
        <v>0</v>
      </c>
      <c r="I81" s="11">
        <f>IF(H81=0,"",IF(A81&lt;2,"X not before month 2",IF(H81&lt;MAX(5000,Inputs!$B$7),"X below min",IF(H81&gt;MIN(5000000,0.75*J81),"X above max","OK"))))</f>
        <v/>
      </c>
      <c r="J81" s="13">
        <f>O80</f>
        <v/>
      </c>
      <c r="K81" s="13">
        <f>IF(J81&lt;=0.005,0,ROUND(J81*Inputs!$B$8,2))</f>
        <v/>
      </c>
      <c r="L81" s="13">
        <f>IF(J81&lt;=0.005,0,MIN(Inputs!$B$7,J81+K81))</f>
        <v/>
      </c>
      <c r="M81" s="13">
        <f>L81-K81</f>
        <v/>
      </c>
      <c r="N81" s="13">
        <f>IF(J81&lt;=0.005,0,MIN(H81,J81-M81))</f>
        <v/>
      </c>
      <c r="O81" s="13">
        <f>ROUND(J81-M81-N81,2)</f>
        <v/>
      </c>
    </row>
    <row r="82">
      <c r="A82" s="11" t="n">
        <v>80</v>
      </c>
      <c r="B82" s="12">
        <f>EDATE(Inputs!$B$6,A82-1)</f>
        <v/>
      </c>
      <c r="C82" s="13">
        <f>G81</f>
        <v/>
      </c>
      <c r="D82" s="13">
        <f>IF(C82&lt;=0.005,0,ROUND(C82*Inputs!$B$8,2))</f>
        <v/>
      </c>
      <c r="E82" s="13">
        <f>IF(C82&lt;=0.005,0,MIN(Inputs!$B$7,C82+D82))</f>
        <v/>
      </c>
      <c r="F82" s="13">
        <f>E82-D82</f>
        <v/>
      </c>
      <c r="G82" s="13">
        <f>ROUND(C82-F82,2)</f>
        <v/>
      </c>
      <c r="H82" s="14" t="n">
        <v>0</v>
      </c>
      <c r="I82" s="11">
        <f>IF(H82=0,"",IF(A82&lt;2,"X not before month 2",IF(H82&lt;MAX(5000,Inputs!$B$7),"X below min",IF(H82&gt;MIN(5000000,0.75*J82),"X above max","OK"))))</f>
        <v/>
      </c>
      <c r="J82" s="13">
        <f>O81</f>
        <v/>
      </c>
      <c r="K82" s="13">
        <f>IF(J82&lt;=0.005,0,ROUND(J82*Inputs!$B$8,2))</f>
        <v/>
      </c>
      <c r="L82" s="13">
        <f>IF(J82&lt;=0.005,0,MIN(Inputs!$B$7,J82+K82))</f>
        <v/>
      </c>
      <c r="M82" s="13">
        <f>L82-K82</f>
        <v/>
      </c>
      <c r="N82" s="13">
        <f>IF(J82&lt;=0.005,0,MIN(H82,J82-M82))</f>
        <v/>
      </c>
      <c r="O82" s="13">
        <f>ROUND(J82-M82-N82,2)</f>
        <v/>
      </c>
    </row>
    <row r="83">
      <c r="A83" s="11" t="n">
        <v>81</v>
      </c>
      <c r="B83" s="12">
        <f>EDATE(Inputs!$B$6,A83-1)</f>
        <v/>
      </c>
      <c r="C83" s="13">
        <f>G82</f>
        <v/>
      </c>
      <c r="D83" s="13">
        <f>IF(C83&lt;=0.005,0,ROUND(C83*Inputs!$B$8,2))</f>
        <v/>
      </c>
      <c r="E83" s="13">
        <f>IF(C83&lt;=0.005,0,MIN(Inputs!$B$7,C83+D83))</f>
        <v/>
      </c>
      <c r="F83" s="13">
        <f>E83-D83</f>
        <v/>
      </c>
      <c r="G83" s="13">
        <f>ROUND(C83-F83,2)</f>
        <v/>
      </c>
      <c r="H83" s="14" t="n">
        <v>0</v>
      </c>
      <c r="I83" s="11">
        <f>IF(H83=0,"",IF(A83&lt;2,"X not before month 2",IF(H83&lt;MAX(5000,Inputs!$B$7),"X below min",IF(H83&gt;MIN(5000000,0.75*J83),"X above max","OK"))))</f>
        <v/>
      </c>
      <c r="J83" s="13">
        <f>O82</f>
        <v/>
      </c>
      <c r="K83" s="13">
        <f>IF(J83&lt;=0.005,0,ROUND(J83*Inputs!$B$8,2))</f>
        <v/>
      </c>
      <c r="L83" s="13">
        <f>IF(J83&lt;=0.005,0,MIN(Inputs!$B$7,J83+K83))</f>
        <v/>
      </c>
      <c r="M83" s="13">
        <f>L83-K83</f>
        <v/>
      </c>
      <c r="N83" s="13">
        <f>IF(J83&lt;=0.005,0,MIN(H83,J83-M83))</f>
        <v/>
      </c>
      <c r="O83" s="13">
        <f>ROUND(J83-M83-N83,2)</f>
        <v/>
      </c>
    </row>
    <row r="84">
      <c r="A84" s="11" t="n">
        <v>82</v>
      </c>
      <c r="B84" s="12">
        <f>EDATE(Inputs!$B$6,A84-1)</f>
        <v/>
      </c>
      <c r="C84" s="13">
        <f>G83</f>
        <v/>
      </c>
      <c r="D84" s="13">
        <f>IF(C84&lt;=0.005,0,ROUND(C84*Inputs!$B$8,2))</f>
        <v/>
      </c>
      <c r="E84" s="13">
        <f>IF(C84&lt;=0.005,0,MIN(Inputs!$B$7,C84+D84))</f>
        <v/>
      </c>
      <c r="F84" s="13">
        <f>E84-D84</f>
        <v/>
      </c>
      <c r="G84" s="13">
        <f>ROUND(C84-F84,2)</f>
        <v/>
      </c>
      <c r="H84" s="14" t="n">
        <v>0</v>
      </c>
      <c r="I84" s="11">
        <f>IF(H84=0,"",IF(A84&lt;2,"X not before month 2",IF(H84&lt;MAX(5000,Inputs!$B$7),"X below min",IF(H84&gt;MIN(5000000,0.75*J84),"X above max","OK"))))</f>
        <v/>
      </c>
      <c r="J84" s="13">
        <f>O83</f>
        <v/>
      </c>
      <c r="K84" s="13">
        <f>IF(J84&lt;=0.005,0,ROUND(J84*Inputs!$B$8,2))</f>
        <v/>
      </c>
      <c r="L84" s="13">
        <f>IF(J84&lt;=0.005,0,MIN(Inputs!$B$7,J84+K84))</f>
        <v/>
      </c>
      <c r="M84" s="13">
        <f>L84-K84</f>
        <v/>
      </c>
      <c r="N84" s="13">
        <f>IF(J84&lt;=0.005,0,MIN(H84,J84-M84))</f>
        <v/>
      </c>
      <c r="O84" s="13">
        <f>ROUND(J84-M84-N84,2)</f>
        <v/>
      </c>
    </row>
    <row r="85">
      <c r="A85" s="11" t="n">
        <v>83</v>
      </c>
      <c r="B85" s="12">
        <f>EDATE(Inputs!$B$6,A85-1)</f>
        <v/>
      </c>
      <c r="C85" s="13">
        <f>G84</f>
        <v/>
      </c>
      <c r="D85" s="13">
        <f>IF(C85&lt;=0.005,0,ROUND(C85*Inputs!$B$8,2))</f>
        <v/>
      </c>
      <c r="E85" s="13">
        <f>IF(C85&lt;=0.005,0,MIN(Inputs!$B$7,C85+D85))</f>
        <v/>
      </c>
      <c r="F85" s="13">
        <f>E85-D85</f>
        <v/>
      </c>
      <c r="G85" s="13">
        <f>ROUND(C85-F85,2)</f>
        <v/>
      </c>
      <c r="H85" s="14" t="n">
        <v>0</v>
      </c>
      <c r="I85" s="11">
        <f>IF(H85=0,"",IF(A85&lt;2,"X not before month 2",IF(H85&lt;MAX(5000,Inputs!$B$7),"X below min",IF(H85&gt;MIN(5000000,0.75*J85),"X above max","OK"))))</f>
        <v/>
      </c>
      <c r="J85" s="13">
        <f>O84</f>
        <v/>
      </c>
      <c r="K85" s="13">
        <f>IF(J85&lt;=0.005,0,ROUND(J85*Inputs!$B$8,2))</f>
        <v/>
      </c>
      <c r="L85" s="13">
        <f>IF(J85&lt;=0.005,0,MIN(Inputs!$B$7,J85+K85))</f>
        <v/>
      </c>
      <c r="M85" s="13">
        <f>L85-K85</f>
        <v/>
      </c>
      <c r="N85" s="13">
        <f>IF(J85&lt;=0.005,0,MIN(H85,J85-M85))</f>
        <v/>
      </c>
      <c r="O85" s="13">
        <f>ROUND(J85-M85-N85,2)</f>
        <v/>
      </c>
    </row>
    <row r="86">
      <c r="A86" s="11" t="n">
        <v>84</v>
      </c>
      <c r="B86" s="12">
        <f>EDATE(Inputs!$B$6,A86-1)</f>
        <v/>
      </c>
      <c r="C86" s="13">
        <f>G85</f>
        <v/>
      </c>
      <c r="D86" s="13">
        <f>IF(C86&lt;=0.005,0,ROUND(C86*Inputs!$B$8,2))</f>
        <v/>
      </c>
      <c r="E86" s="13">
        <f>IF(C86&lt;=0.005,0,MIN(Inputs!$B$7,C86+D86))</f>
        <v/>
      </c>
      <c r="F86" s="13">
        <f>E86-D86</f>
        <v/>
      </c>
      <c r="G86" s="13">
        <f>ROUND(C86-F86,2)</f>
        <v/>
      </c>
      <c r="H86" s="14" t="n">
        <v>0</v>
      </c>
      <c r="I86" s="11">
        <f>IF(H86=0,"",IF(A86&lt;2,"X not before month 2",IF(H86&lt;MAX(5000,Inputs!$B$7),"X below min",IF(H86&gt;MIN(5000000,0.75*J86),"X above max","OK"))))</f>
        <v/>
      </c>
      <c r="J86" s="13">
        <f>O85</f>
        <v/>
      </c>
      <c r="K86" s="13">
        <f>IF(J86&lt;=0.005,0,ROUND(J86*Inputs!$B$8,2))</f>
        <v/>
      </c>
      <c r="L86" s="13">
        <f>IF(J86&lt;=0.005,0,MIN(Inputs!$B$7,J86+K86))</f>
        <v/>
      </c>
      <c r="M86" s="13">
        <f>L86-K86</f>
        <v/>
      </c>
      <c r="N86" s="13">
        <f>IF(J86&lt;=0.005,0,MIN(H86,J86-M86))</f>
        <v/>
      </c>
      <c r="O86" s="13">
        <f>ROUND(J86-M86-N86,2)</f>
        <v/>
      </c>
    </row>
    <row r="87">
      <c r="A87" s="11" t="n">
        <v>85</v>
      </c>
      <c r="B87" s="12">
        <f>EDATE(Inputs!$B$6,A87-1)</f>
        <v/>
      </c>
      <c r="C87" s="13">
        <f>G86</f>
        <v/>
      </c>
      <c r="D87" s="13">
        <f>IF(C87&lt;=0.005,0,ROUND(C87*Inputs!$B$8,2))</f>
        <v/>
      </c>
      <c r="E87" s="13">
        <f>IF(C87&lt;=0.005,0,MIN(Inputs!$B$7,C87+D87))</f>
        <v/>
      </c>
      <c r="F87" s="13">
        <f>E87-D87</f>
        <v/>
      </c>
      <c r="G87" s="13">
        <f>ROUND(C87-F87,2)</f>
        <v/>
      </c>
      <c r="H87" s="14" t="n">
        <v>0</v>
      </c>
      <c r="I87" s="11">
        <f>IF(H87=0,"",IF(A87&lt;2,"X not before month 2",IF(H87&lt;MAX(5000,Inputs!$B$7),"X below min",IF(H87&gt;MIN(5000000,0.75*J87),"X above max","OK"))))</f>
        <v/>
      </c>
      <c r="J87" s="13">
        <f>O86</f>
        <v/>
      </c>
      <c r="K87" s="13">
        <f>IF(J87&lt;=0.005,0,ROUND(J87*Inputs!$B$8,2))</f>
        <v/>
      </c>
      <c r="L87" s="13">
        <f>IF(J87&lt;=0.005,0,MIN(Inputs!$B$7,J87+K87))</f>
        <v/>
      </c>
      <c r="M87" s="13">
        <f>L87-K87</f>
        <v/>
      </c>
      <c r="N87" s="13">
        <f>IF(J87&lt;=0.005,0,MIN(H87,J87-M87))</f>
        <v/>
      </c>
      <c r="O87" s="13">
        <f>ROUND(J87-M87-N87,2)</f>
        <v/>
      </c>
    </row>
    <row r="88">
      <c r="A88" s="11" t="n">
        <v>86</v>
      </c>
      <c r="B88" s="12">
        <f>EDATE(Inputs!$B$6,A88-1)</f>
        <v/>
      </c>
      <c r="C88" s="13">
        <f>G87</f>
        <v/>
      </c>
      <c r="D88" s="13">
        <f>IF(C88&lt;=0.005,0,ROUND(C88*Inputs!$B$8,2))</f>
        <v/>
      </c>
      <c r="E88" s="13">
        <f>IF(C88&lt;=0.005,0,MIN(Inputs!$B$7,C88+D88))</f>
        <v/>
      </c>
      <c r="F88" s="13">
        <f>E88-D88</f>
        <v/>
      </c>
      <c r="G88" s="13">
        <f>ROUND(C88-F88,2)</f>
        <v/>
      </c>
      <c r="H88" s="14" t="n">
        <v>0</v>
      </c>
      <c r="I88" s="11">
        <f>IF(H88=0,"",IF(A88&lt;2,"X not before month 2",IF(H88&lt;MAX(5000,Inputs!$B$7),"X below min",IF(H88&gt;MIN(5000000,0.75*J88),"X above max","OK"))))</f>
        <v/>
      </c>
      <c r="J88" s="13">
        <f>O87</f>
        <v/>
      </c>
      <c r="K88" s="13">
        <f>IF(J88&lt;=0.005,0,ROUND(J88*Inputs!$B$8,2))</f>
        <v/>
      </c>
      <c r="L88" s="13">
        <f>IF(J88&lt;=0.005,0,MIN(Inputs!$B$7,J88+K88))</f>
        <v/>
      </c>
      <c r="M88" s="13">
        <f>L88-K88</f>
        <v/>
      </c>
      <c r="N88" s="13">
        <f>IF(J88&lt;=0.005,0,MIN(H88,J88-M88))</f>
        <v/>
      </c>
      <c r="O88" s="13">
        <f>ROUND(J88-M88-N88,2)</f>
        <v/>
      </c>
    </row>
    <row r="89">
      <c r="A89" s="11" t="n">
        <v>87</v>
      </c>
      <c r="B89" s="12">
        <f>EDATE(Inputs!$B$6,A89-1)</f>
        <v/>
      </c>
      <c r="C89" s="13">
        <f>G88</f>
        <v/>
      </c>
      <c r="D89" s="13">
        <f>IF(C89&lt;=0.005,0,ROUND(C89*Inputs!$B$8,2))</f>
        <v/>
      </c>
      <c r="E89" s="13">
        <f>IF(C89&lt;=0.005,0,MIN(Inputs!$B$7,C89+D89))</f>
        <v/>
      </c>
      <c r="F89" s="13">
        <f>E89-D89</f>
        <v/>
      </c>
      <c r="G89" s="13">
        <f>ROUND(C89-F89,2)</f>
        <v/>
      </c>
      <c r="H89" s="14" t="n">
        <v>0</v>
      </c>
      <c r="I89" s="11">
        <f>IF(H89=0,"",IF(A89&lt;2,"X not before month 2",IF(H89&lt;MAX(5000,Inputs!$B$7),"X below min",IF(H89&gt;MIN(5000000,0.75*J89),"X above max","OK"))))</f>
        <v/>
      </c>
      <c r="J89" s="13">
        <f>O88</f>
        <v/>
      </c>
      <c r="K89" s="13">
        <f>IF(J89&lt;=0.005,0,ROUND(J89*Inputs!$B$8,2))</f>
        <v/>
      </c>
      <c r="L89" s="13">
        <f>IF(J89&lt;=0.005,0,MIN(Inputs!$B$7,J89+K89))</f>
        <v/>
      </c>
      <c r="M89" s="13">
        <f>L89-K89</f>
        <v/>
      </c>
      <c r="N89" s="13">
        <f>IF(J89&lt;=0.005,0,MIN(H89,J89-M89))</f>
        <v/>
      </c>
      <c r="O89" s="13">
        <f>ROUND(J89-M89-N89,2)</f>
        <v/>
      </c>
    </row>
    <row r="90">
      <c r="A90" s="11" t="n">
        <v>88</v>
      </c>
      <c r="B90" s="12">
        <f>EDATE(Inputs!$B$6,A90-1)</f>
        <v/>
      </c>
      <c r="C90" s="13">
        <f>G89</f>
        <v/>
      </c>
      <c r="D90" s="13">
        <f>IF(C90&lt;=0.005,0,ROUND(C90*Inputs!$B$8,2))</f>
        <v/>
      </c>
      <c r="E90" s="13">
        <f>IF(C90&lt;=0.005,0,MIN(Inputs!$B$7,C90+D90))</f>
        <v/>
      </c>
      <c r="F90" s="13">
        <f>E90-D90</f>
        <v/>
      </c>
      <c r="G90" s="13">
        <f>ROUND(C90-F90,2)</f>
        <v/>
      </c>
      <c r="H90" s="14" t="n">
        <v>0</v>
      </c>
      <c r="I90" s="11">
        <f>IF(H90=0,"",IF(A90&lt;2,"X not before month 2",IF(H90&lt;MAX(5000,Inputs!$B$7),"X below min",IF(H90&gt;MIN(5000000,0.75*J90),"X above max","OK"))))</f>
        <v/>
      </c>
      <c r="J90" s="13">
        <f>O89</f>
        <v/>
      </c>
      <c r="K90" s="13">
        <f>IF(J90&lt;=0.005,0,ROUND(J90*Inputs!$B$8,2))</f>
        <v/>
      </c>
      <c r="L90" s="13">
        <f>IF(J90&lt;=0.005,0,MIN(Inputs!$B$7,J90+K90))</f>
        <v/>
      </c>
      <c r="M90" s="13">
        <f>L90-K90</f>
        <v/>
      </c>
      <c r="N90" s="13">
        <f>IF(J90&lt;=0.005,0,MIN(H90,J90-M90))</f>
        <v/>
      </c>
      <c r="O90" s="13">
        <f>ROUND(J90-M90-N90,2)</f>
        <v/>
      </c>
    </row>
    <row r="91">
      <c r="A91" s="11" t="n">
        <v>89</v>
      </c>
      <c r="B91" s="12">
        <f>EDATE(Inputs!$B$6,A91-1)</f>
        <v/>
      </c>
      <c r="C91" s="13">
        <f>G90</f>
        <v/>
      </c>
      <c r="D91" s="13">
        <f>IF(C91&lt;=0.005,0,ROUND(C91*Inputs!$B$8,2))</f>
        <v/>
      </c>
      <c r="E91" s="13">
        <f>IF(C91&lt;=0.005,0,MIN(Inputs!$B$7,C91+D91))</f>
        <v/>
      </c>
      <c r="F91" s="13">
        <f>E91-D91</f>
        <v/>
      </c>
      <c r="G91" s="13">
        <f>ROUND(C91-F91,2)</f>
        <v/>
      </c>
      <c r="H91" s="14" t="n">
        <v>0</v>
      </c>
      <c r="I91" s="11">
        <f>IF(H91=0,"",IF(A91&lt;2,"X not before month 2",IF(H91&lt;MAX(5000,Inputs!$B$7),"X below min",IF(H91&gt;MIN(5000000,0.75*J91),"X above max","OK"))))</f>
        <v/>
      </c>
      <c r="J91" s="13">
        <f>O90</f>
        <v/>
      </c>
      <c r="K91" s="13">
        <f>IF(J91&lt;=0.005,0,ROUND(J91*Inputs!$B$8,2))</f>
        <v/>
      </c>
      <c r="L91" s="13">
        <f>IF(J91&lt;=0.005,0,MIN(Inputs!$B$7,J91+K91))</f>
        <v/>
      </c>
      <c r="M91" s="13">
        <f>L91-K91</f>
        <v/>
      </c>
      <c r="N91" s="13">
        <f>IF(J91&lt;=0.005,0,MIN(H91,J91-M91))</f>
        <v/>
      </c>
      <c r="O91" s="13">
        <f>ROUND(J91-M91-N91,2)</f>
        <v/>
      </c>
    </row>
    <row r="92">
      <c r="A92" s="11" t="n">
        <v>90</v>
      </c>
      <c r="B92" s="12">
        <f>EDATE(Inputs!$B$6,A92-1)</f>
        <v/>
      </c>
      <c r="C92" s="13">
        <f>G91</f>
        <v/>
      </c>
      <c r="D92" s="13">
        <f>IF(C92&lt;=0.005,0,ROUND(C92*Inputs!$B$8,2))</f>
        <v/>
      </c>
      <c r="E92" s="13">
        <f>IF(C92&lt;=0.005,0,MIN(Inputs!$B$7,C92+D92))</f>
        <v/>
      </c>
      <c r="F92" s="13">
        <f>E92-D92</f>
        <v/>
      </c>
      <c r="G92" s="13">
        <f>ROUND(C92-F92,2)</f>
        <v/>
      </c>
      <c r="H92" s="14" t="n">
        <v>0</v>
      </c>
      <c r="I92" s="11">
        <f>IF(H92=0,"",IF(A92&lt;2,"X not before month 2",IF(H92&lt;MAX(5000,Inputs!$B$7),"X below min",IF(H92&gt;MIN(5000000,0.75*J92),"X above max","OK"))))</f>
        <v/>
      </c>
      <c r="J92" s="13">
        <f>O91</f>
        <v/>
      </c>
      <c r="K92" s="13">
        <f>IF(J92&lt;=0.005,0,ROUND(J92*Inputs!$B$8,2))</f>
        <v/>
      </c>
      <c r="L92" s="13">
        <f>IF(J92&lt;=0.005,0,MIN(Inputs!$B$7,J92+K92))</f>
        <v/>
      </c>
      <c r="M92" s="13">
        <f>L92-K92</f>
        <v/>
      </c>
      <c r="N92" s="13">
        <f>IF(J92&lt;=0.005,0,MIN(H92,J92-M92))</f>
        <v/>
      </c>
      <c r="O92" s="13">
        <f>ROUND(J92-M92-N92,2)</f>
        <v/>
      </c>
    </row>
    <row r="93">
      <c r="A93" s="11" t="n">
        <v>91</v>
      </c>
      <c r="B93" s="12">
        <f>EDATE(Inputs!$B$6,A93-1)</f>
        <v/>
      </c>
      <c r="C93" s="13">
        <f>G92</f>
        <v/>
      </c>
      <c r="D93" s="13">
        <f>IF(C93&lt;=0.005,0,ROUND(C93*Inputs!$B$8,2))</f>
        <v/>
      </c>
      <c r="E93" s="13">
        <f>IF(C93&lt;=0.005,0,MIN(Inputs!$B$7,C93+D93))</f>
        <v/>
      </c>
      <c r="F93" s="13">
        <f>E93-D93</f>
        <v/>
      </c>
      <c r="G93" s="13">
        <f>ROUND(C93-F93,2)</f>
        <v/>
      </c>
      <c r="H93" s="14" t="n">
        <v>0</v>
      </c>
      <c r="I93" s="11">
        <f>IF(H93=0,"",IF(A93&lt;2,"X not before month 2",IF(H93&lt;MAX(5000,Inputs!$B$7),"X below min",IF(H93&gt;MIN(5000000,0.75*J93),"X above max","OK"))))</f>
        <v/>
      </c>
      <c r="J93" s="13">
        <f>O92</f>
        <v/>
      </c>
      <c r="K93" s="13">
        <f>IF(J93&lt;=0.005,0,ROUND(J93*Inputs!$B$8,2))</f>
        <v/>
      </c>
      <c r="L93" s="13">
        <f>IF(J93&lt;=0.005,0,MIN(Inputs!$B$7,J93+K93))</f>
        <v/>
      </c>
      <c r="M93" s="13">
        <f>L93-K93</f>
        <v/>
      </c>
      <c r="N93" s="13">
        <f>IF(J93&lt;=0.005,0,MIN(H93,J93-M93))</f>
        <v/>
      </c>
      <c r="O93" s="13">
        <f>ROUND(J93-M93-N93,2)</f>
        <v/>
      </c>
    </row>
    <row r="94">
      <c r="A94" s="11" t="n">
        <v>92</v>
      </c>
      <c r="B94" s="12">
        <f>EDATE(Inputs!$B$6,A94-1)</f>
        <v/>
      </c>
      <c r="C94" s="13">
        <f>G93</f>
        <v/>
      </c>
      <c r="D94" s="13">
        <f>IF(C94&lt;=0.005,0,ROUND(C94*Inputs!$B$8,2))</f>
        <v/>
      </c>
      <c r="E94" s="13">
        <f>IF(C94&lt;=0.005,0,MIN(Inputs!$B$7,C94+D94))</f>
        <v/>
      </c>
      <c r="F94" s="13">
        <f>E94-D94</f>
        <v/>
      </c>
      <c r="G94" s="13">
        <f>ROUND(C94-F94,2)</f>
        <v/>
      </c>
      <c r="H94" s="14" t="n">
        <v>0</v>
      </c>
      <c r="I94" s="11">
        <f>IF(H94=0,"",IF(A94&lt;2,"X not before month 2",IF(H94&lt;MAX(5000,Inputs!$B$7),"X below min",IF(H94&gt;MIN(5000000,0.75*J94),"X above max","OK"))))</f>
        <v/>
      </c>
      <c r="J94" s="13">
        <f>O93</f>
        <v/>
      </c>
      <c r="K94" s="13">
        <f>IF(J94&lt;=0.005,0,ROUND(J94*Inputs!$B$8,2))</f>
        <v/>
      </c>
      <c r="L94" s="13">
        <f>IF(J94&lt;=0.005,0,MIN(Inputs!$B$7,J94+K94))</f>
        <v/>
      </c>
      <c r="M94" s="13">
        <f>L94-K94</f>
        <v/>
      </c>
      <c r="N94" s="13">
        <f>IF(J94&lt;=0.005,0,MIN(H94,J94-M94))</f>
        <v/>
      </c>
      <c r="O94" s="13">
        <f>ROUND(J94-M94-N94,2)</f>
        <v/>
      </c>
    </row>
    <row r="95">
      <c r="A95" s="11" t="n">
        <v>93</v>
      </c>
      <c r="B95" s="12">
        <f>EDATE(Inputs!$B$6,A95-1)</f>
        <v/>
      </c>
      <c r="C95" s="13">
        <f>G94</f>
        <v/>
      </c>
      <c r="D95" s="13">
        <f>IF(C95&lt;=0.005,0,ROUND(C95*Inputs!$B$8,2))</f>
        <v/>
      </c>
      <c r="E95" s="13">
        <f>IF(C95&lt;=0.005,0,MIN(Inputs!$B$7,C95+D95))</f>
        <v/>
      </c>
      <c r="F95" s="13">
        <f>E95-D95</f>
        <v/>
      </c>
      <c r="G95" s="13">
        <f>ROUND(C95-F95,2)</f>
        <v/>
      </c>
      <c r="H95" s="14" t="n">
        <v>0</v>
      </c>
      <c r="I95" s="11">
        <f>IF(H95=0,"",IF(A95&lt;2,"X not before month 2",IF(H95&lt;MAX(5000,Inputs!$B$7),"X below min",IF(H95&gt;MIN(5000000,0.75*J95),"X above max","OK"))))</f>
        <v/>
      </c>
      <c r="J95" s="13">
        <f>O94</f>
        <v/>
      </c>
      <c r="K95" s="13">
        <f>IF(J95&lt;=0.005,0,ROUND(J95*Inputs!$B$8,2))</f>
        <v/>
      </c>
      <c r="L95" s="13">
        <f>IF(J95&lt;=0.005,0,MIN(Inputs!$B$7,J95+K95))</f>
        <v/>
      </c>
      <c r="M95" s="13">
        <f>L95-K95</f>
        <v/>
      </c>
      <c r="N95" s="13">
        <f>IF(J95&lt;=0.005,0,MIN(H95,J95-M95))</f>
        <v/>
      </c>
      <c r="O95" s="13">
        <f>ROUND(J95-M95-N95,2)</f>
        <v/>
      </c>
    </row>
    <row r="96">
      <c r="A96" s="11" t="n">
        <v>94</v>
      </c>
      <c r="B96" s="12">
        <f>EDATE(Inputs!$B$6,A96-1)</f>
        <v/>
      </c>
      <c r="C96" s="13">
        <f>G95</f>
        <v/>
      </c>
      <c r="D96" s="13">
        <f>IF(C96&lt;=0.005,0,ROUND(C96*Inputs!$B$8,2))</f>
        <v/>
      </c>
      <c r="E96" s="13">
        <f>IF(C96&lt;=0.005,0,MIN(Inputs!$B$7,C96+D96))</f>
        <v/>
      </c>
      <c r="F96" s="13">
        <f>E96-D96</f>
        <v/>
      </c>
      <c r="G96" s="13">
        <f>ROUND(C96-F96,2)</f>
        <v/>
      </c>
      <c r="H96" s="14" t="n">
        <v>0</v>
      </c>
      <c r="I96" s="11">
        <f>IF(H96=0,"",IF(A96&lt;2,"X not before month 2",IF(H96&lt;MAX(5000,Inputs!$B$7),"X below min",IF(H96&gt;MIN(5000000,0.75*J96),"X above max","OK"))))</f>
        <v/>
      </c>
      <c r="J96" s="13">
        <f>O95</f>
        <v/>
      </c>
      <c r="K96" s="13">
        <f>IF(J96&lt;=0.005,0,ROUND(J96*Inputs!$B$8,2))</f>
        <v/>
      </c>
      <c r="L96" s="13">
        <f>IF(J96&lt;=0.005,0,MIN(Inputs!$B$7,J96+K96))</f>
        <v/>
      </c>
      <c r="M96" s="13">
        <f>L96-K96</f>
        <v/>
      </c>
      <c r="N96" s="13">
        <f>IF(J96&lt;=0.005,0,MIN(H96,J96-M96))</f>
        <v/>
      </c>
      <c r="O96" s="13">
        <f>ROUND(J96-M96-N96,2)</f>
        <v/>
      </c>
    </row>
    <row r="97">
      <c r="A97" s="11" t="n">
        <v>95</v>
      </c>
      <c r="B97" s="12">
        <f>EDATE(Inputs!$B$6,A97-1)</f>
        <v/>
      </c>
      <c r="C97" s="13">
        <f>G96</f>
        <v/>
      </c>
      <c r="D97" s="13">
        <f>IF(C97&lt;=0.005,0,ROUND(C97*Inputs!$B$8,2))</f>
        <v/>
      </c>
      <c r="E97" s="13">
        <f>IF(C97&lt;=0.005,0,MIN(Inputs!$B$7,C97+D97))</f>
        <v/>
      </c>
      <c r="F97" s="13">
        <f>E97-D97</f>
        <v/>
      </c>
      <c r="G97" s="13">
        <f>ROUND(C97-F97,2)</f>
        <v/>
      </c>
      <c r="H97" s="14" t="n">
        <v>0</v>
      </c>
      <c r="I97" s="11">
        <f>IF(H97=0,"",IF(A97&lt;2,"X not before month 2",IF(H97&lt;MAX(5000,Inputs!$B$7),"X below min",IF(H97&gt;MIN(5000000,0.75*J97),"X above max","OK"))))</f>
        <v/>
      </c>
      <c r="J97" s="13">
        <f>O96</f>
        <v/>
      </c>
      <c r="K97" s="13">
        <f>IF(J97&lt;=0.005,0,ROUND(J97*Inputs!$B$8,2))</f>
        <v/>
      </c>
      <c r="L97" s="13">
        <f>IF(J97&lt;=0.005,0,MIN(Inputs!$B$7,J97+K97))</f>
        <v/>
      </c>
      <c r="M97" s="13">
        <f>L97-K97</f>
        <v/>
      </c>
      <c r="N97" s="13">
        <f>IF(J97&lt;=0.005,0,MIN(H97,J97-M97))</f>
        <v/>
      </c>
      <c r="O97" s="13">
        <f>ROUND(J97-M97-N97,2)</f>
        <v/>
      </c>
    </row>
    <row r="98">
      <c r="A98" s="11" t="n">
        <v>96</v>
      </c>
      <c r="B98" s="12">
        <f>EDATE(Inputs!$B$6,A98-1)</f>
        <v/>
      </c>
      <c r="C98" s="13">
        <f>G97</f>
        <v/>
      </c>
      <c r="D98" s="13">
        <f>IF(C98&lt;=0.005,0,ROUND(C98*Inputs!$B$8,2))</f>
        <v/>
      </c>
      <c r="E98" s="13">
        <f>IF(C98&lt;=0.005,0,MIN(Inputs!$B$7,C98+D98))</f>
        <v/>
      </c>
      <c r="F98" s="13">
        <f>E98-D98</f>
        <v/>
      </c>
      <c r="G98" s="13">
        <f>ROUND(C98-F98,2)</f>
        <v/>
      </c>
      <c r="H98" s="14" t="n">
        <v>0</v>
      </c>
      <c r="I98" s="11">
        <f>IF(H98=0,"",IF(A98&lt;2,"X not before month 2",IF(H98&lt;MAX(5000,Inputs!$B$7),"X below min",IF(H98&gt;MIN(5000000,0.75*J98),"X above max","OK"))))</f>
        <v/>
      </c>
      <c r="J98" s="13">
        <f>O97</f>
        <v/>
      </c>
      <c r="K98" s="13">
        <f>IF(J98&lt;=0.005,0,ROUND(J98*Inputs!$B$8,2))</f>
        <v/>
      </c>
      <c r="L98" s="13">
        <f>IF(J98&lt;=0.005,0,MIN(Inputs!$B$7,J98+K98))</f>
        <v/>
      </c>
      <c r="M98" s="13">
        <f>L98-K98</f>
        <v/>
      </c>
      <c r="N98" s="13">
        <f>IF(J98&lt;=0.005,0,MIN(H98,J98-M98))</f>
        <v/>
      </c>
      <c r="O98" s="13">
        <f>ROUND(J98-M98-N98,2)</f>
        <v/>
      </c>
    </row>
    <row r="99">
      <c r="A99" s="11" t="n">
        <v>97</v>
      </c>
      <c r="B99" s="12">
        <f>EDATE(Inputs!$B$6,A99-1)</f>
        <v/>
      </c>
      <c r="C99" s="13">
        <f>G98</f>
        <v/>
      </c>
      <c r="D99" s="13">
        <f>IF(C99&lt;=0.005,0,ROUND(C99*Inputs!$B$8,2))</f>
        <v/>
      </c>
      <c r="E99" s="13">
        <f>IF(C99&lt;=0.005,0,MIN(Inputs!$B$7,C99+D99))</f>
        <v/>
      </c>
      <c r="F99" s="13">
        <f>E99-D99</f>
        <v/>
      </c>
      <c r="G99" s="13">
        <f>ROUND(C99-F99,2)</f>
        <v/>
      </c>
      <c r="H99" s="14" t="n">
        <v>0</v>
      </c>
      <c r="I99" s="11">
        <f>IF(H99=0,"",IF(A99&lt;2,"X not before month 2",IF(H99&lt;MAX(5000,Inputs!$B$7),"X below min",IF(H99&gt;MIN(5000000,0.75*J99),"X above max","OK"))))</f>
        <v/>
      </c>
      <c r="J99" s="13">
        <f>O98</f>
        <v/>
      </c>
      <c r="K99" s="13">
        <f>IF(J99&lt;=0.005,0,ROUND(J99*Inputs!$B$8,2))</f>
        <v/>
      </c>
      <c r="L99" s="13">
        <f>IF(J99&lt;=0.005,0,MIN(Inputs!$B$7,J99+K99))</f>
        <v/>
      </c>
      <c r="M99" s="13">
        <f>L99-K99</f>
        <v/>
      </c>
      <c r="N99" s="13">
        <f>IF(J99&lt;=0.005,0,MIN(H99,J99-M99))</f>
        <v/>
      </c>
      <c r="O99" s="13">
        <f>ROUND(J99-M99-N99,2)</f>
        <v/>
      </c>
    </row>
    <row r="100">
      <c r="A100" s="11" t="n">
        <v>98</v>
      </c>
      <c r="B100" s="12">
        <f>EDATE(Inputs!$B$6,A100-1)</f>
        <v/>
      </c>
      <c r="C100" s="13">
        <f>G99</f>
        <v/>
      </c>
      <c r="D100" s="13">
        <f>IF(C100&lt;=0.005,0,ROUND(C100*Inputs!$B$8,2))</f>
        <v/>
      </c>
      <c r="E100" s="13">
        <f>IF(C100&lt;=0.005,0,MIN(Inputs!$B$7,C100+D100))</f>
        <v/>
      </c>
      <c r="F100" s="13">
        <f>E100-D100</f>
        <v/>
      </c>
      <c r="G100" s="13">
        <f>ROUND(C100-F100,2)</f>
        <v/>
      </c>
      <c r="H100" s="14" t="n">
        <v>0</v>
      </c>
      <c r="I100" s="11">
        <f>IF(H100=0,"",IF(A100&lt;2,"X not before month 2",IF(H100&lt;MAX(5000,Inputs!$B$7),"X below min",IF(H100&gt;MIN(5000000,0.75*J100),"X above max","OK"))))</f>
        <v/>
      </c>
      <c r="J100" s="13">
        <f>O99</f>
        <v/>
      </c>
      <c r="K100" s="13">
        <f>IF(J100&lt;=0.005,0,ROUND(J100*Inputs!$B$8,2))</f>
        <v/>
      </c>
      <c r="L100" s="13">
        <f>IF(J100&lt;=0.005,0,MIN(Inputs!$B$7,J100+K100))</f>
        <v/>
      </c>
      <c r="M100" s="13">
        <f>L100-K100</f>
        <v/>
      </c>
      <c r="N100" s="13">
        <f>IF(J100&lt;=0.005,0,MIN(H100,J100-M100))</f>
        <v/>
      </c>
      <c r="O100" s="13">
        <f>ROUND(J100-M100-N100,2)</f>
        <v/>
      </c>
    </row>
    <row r="101">
      <c r="A101" s="11" t="n">
        <v>99</v>
      </c>
      <c r="B101" s="12">
        <f>EDATE(Inputs!$B$6,A101-1)</f>
        <v/>
      </c>
      <c r="C101" s="13">
        <f>G100</f>
        <v/>
      </c>
      <c r="D101" s="13">
        <f>IF(C101&lt;=0.005,0,ROUND(C101*Inputs!$B$8,2))</f>
        <v/>
      </c>
      <c r="E101" s="13">
        <f>IF(C101&lt;=0.005,0,MIN(Inputs!$B$7,C101+D101))</f>
        <v/>
      </c>
      <c r="F101" s="13">
        <f>E101-D101</f>
        <v/>
      </c>
      <c r="G101" s="13">
        <f>ROUND(C101-F101,2)</f>
        <v/>
      </c>
      <c r="H101" s="14" t="n">
        <v>0</v>
      </c>
      <c r="I101" s="11">
        <f>IF(H101=0,"",IF(A101&lt;2,"X not before month 2",IF(H101&lt;MAX(5000,Inputs!$B$7),"X below min",IF(H101&gt;MIN(5000000,0.75*J101),"X above max","OK"))))</f>
        <v/>
      </c>
      <c r="J101" s="13">
        <f>O100</f>
        <v/>
      </c>
      <c r="K101" s="13">
        <f>IF(J101&lt;=0.005,0,ROUND(J101*Inputs!$B$8,2))</f>
        <v/>
      </c>
      <c r="L101" s="13">
        <f>IF(J101&lt;=0.005,0,MIN(Inputs!$B$7,J101+K101))</f>
        <v/>
      </c>
      <c r="M101" s="13">
        <f>L101-K101</f>
        <v/>
      </c>
      <c r="N101" s="13">
        <f>IF(J101&lt;=0.005,0,MIN(H101,J101-M101))</f>
        <v/>
      </c>
      <c r="O101" s="13">
        <f>ROUND(J101-M101-N101,2)</f>
        <v/>
      </c>
    </row>
    <row r="102">
      <c r="A102" s="11" t="n">
        <v>100</v>
      </c>
      <c r="B102" s="12">
        <f>EDATE(Inputs!$B$6,A102-1)</f>
        <v/>
      </c>
      <c r="C102" s="13">
        <f>G101</f>
        <v/>
      </c>
      <c r="D102" s="13">
        <f>IF(C102&lt;=0.005,0,ROUND(C102*Inputs!$B$8,2))</f>
        <v/>
      </c>
      <c r="E102" s="13">
        <f>IF(C102&lt;=0.005,0,MIN(Inputs!$B$7,C102+D102))</f>
        <v/>
      </c>
      <c r="F102" s="13">
        <f>E102-D102</f>
        <v/>
      </c>
      <c r="G102" s="13">
        <f>ROUND(C102-F102,2)</f>
        <v/>
      </c>
      <c r="H102" s="14" t="n">
        <v>0</v>
      </c>
      <c r="I102" s="11">
        <f>IF(H102=0,"",IF(A102&lt;2,"X not before month 2",IF(H102&lt;MAX(5000,Inputs!$B$7),"X below min",IF(H102&gt;MIN(5000000,0.75*J102),"X above max","OK"))))</f>
        <v/>
      </c>
      <c r="J102" s="13">
        <f>O101</f>
        <v/>
      </c>
      <c r="K102" s="13">
        <f>IF(J102&lt;=0.005,0,ROUND(J102*Inputs!$B$8,2))</f>
        <v/>
      </c>
      <c r="L102" s="13">
        <f>IF(J102&lt;=0.005,0,MIN(Inputs!$B$7,J102+K102))</f>
        <v/>
      </c>
      <c r="M102" s="13">
        <f>L102-K102</f>
        <v/>
      </c>
      <c r="N102" s="13">
        <f>IF(J102&lt;=0.005,0,MIN(H102,J102-M102))</f>
        <v/>
      </c>
      <c r="O102" s="13">
        <f>ROUND(J102-M102-N102,2)</f>
        <v/>
      </c>
    </row>
    <row r="103">
      <c r="A103" s="11" t="n">
        <v>101</v>
      </c>
      <c r="B103" s="12">
        <f>EDATE(Inputs!$B$6,A103-1)</f>
        <v/>
      </c>
      <c r="C103" s="13">
        <f>G102</f>
        <v/>
      </c>
      <c r="D103" s="13">
        <f>IF(C103&lt;=0.005,0,ROUND(C103*Inputs!$B$8,2))</f>
        <v/>
      </c>
      <c r="E103" s="13">
        <f>IF(C103&lt;=0.005,0,MIN(Inputs!$B$7,C103+D103))</f>
        <v/>
      </c>
      <c r="F103" s="13">
        <f>E103-D103</f>
        <v/>
      </c>
      <c r="G103" s="13">
        <f>ROUND(C103-F103,2)</f>
        <v/>
      </c>
      <c r="H103" s="14" t="n">
        <v>0</v>
      </c>
      <c r="I103" s="11">
        <f>IF(H103=0,"",IF(A103&lt;2,"X not before month 2",IF(H103&lt;MAX(5000,Inputs!$B$7),"X below min",IF(H103&gt;MIN(5000000,0.75*J103),"X above max","OK"))))</f>
        <v/>
      </c>
      <c r="J103" s="13">
        <f>O102</f>
        <v/>
      </c>
      <c r="K103" s="13">
        <f>IF(J103&lt;=0.005,0,ROUND(J103*Inputs!$B$8,2))</f>
        <v/>
      </c>
      <c r="L103" s="13">
        <f>IF(J103&lt;=0.005,0,MIN(Inputs!$B$7,J103+K103))</f>
        <v/>
      </c>
      <c r="M103" s="13">
        <f>L103-K103</f>
        <v/>
      </c>
      <c r="N103" s="13">
        <f>IF(J103&lt;=0.005,0,MIN(H103,J103-M103))</f>
        <v/>
      </c>
      <c r="O103" s="13">
        <f>ROUND(J103-M103-N103,2)</f>
        <v/>
      </c>
    </row>
    <row r="104">
      <c r="A104" s="11" t="n">
        <v>102</v>
      </c>
      <c r="B104" s="12">
        <f>EDATE(Inputs!$B$6,A104-1)</f>
        <v/>
      </c>
      <c r="C104" s="13">
        <f>G103</f>
        <v/>
      </c>
      <c r="D104" s="13">
        <f>IF(C104&lt;=0.005,0,ROUND(C104*Inputs!$B$8,2))</f>
        <v/>
      </c>
      <c r="E104" s="13">
        <f>IF(C104&lt;=0.005,0,MIN(Inputs!$B$7,C104+D104))</f>
        <v/>
      </c>
      <c r="F104" s="13">
        <f>E104-D104</f>
        <v/>
      </c>
      <c r="G104" s="13">
        <f>ROUND(C104-F104,2)</f>
        <v/>
      </c>
      <c r="H104" s="14" t="n">
        <v>0</v>
      </c>
      <c r="I104" s="11">
        <f>IF(H104=0,"",IF(A104&lt;2,"X not before month 2",IF(H104&lt;MAX(5000,Inputs!$B$7),"X below min",IF(H104&gt;MIN(5000000,0.75*J104),"X above max","OK"))))</f>
        <v/>
      </c>
      <c r="J104" s="13">
        <f>O103</f>
        <v/>
      </c>
      <c r="K104" s="13">
        <f>IF(J104&lt;=0.005,0,ROUND(J104*Inputs!$B$8,2))</f>
        <v/>
      </c>
      <c r="L104" s="13">
        <f>IF(J104&lt;=0.005,0,MIN(Inputs!$B$7,J104+K104))</f>
        <v/>
      </c>
      <c r="M104" s="13">
        <f>L104-K104</f>
        <v/>
      </c>
      <c r="N104" s="13">
        <f>IF(J104&lt;=0.005,0,MIN(H104,J104-M104))</f>
        <v/>
      </c>
      <c r="O104" s="13">
        <f>ROUND(J104-M104-N104,2)</f>
        <v/>
      </c>
    </row>
    <row r="105">
      <c r="A105" s="11" t="n">
        <v>103</v>
      </c>
      <c r="B105" s="12">
        <f>EDATE(Inputs!$B$6,A105-1)</f>
        <v/>
      </c>
      <c r="C105" s="13">
        <f>G104</f>
        <v/>
      </c>
      <c r="D105" s="13">
        <f>IF(C105&lt;=0.005,0,ROUND(C105*Inputs!$B$8,2))</f>
        <v/>
      </c>
      <c r="E105" s="13">
        <f>IF(C105&lt;=0.005,0,MIN(Inputs!$B$7,C105+D105))</f>
        <v/>
      </c>
      <c r="F105" s="13">
        <f>E105-D105</f>
        <v/>
      </c>
      <c r="G105" s="13">
        <f>ROUND(C105-F105,2)</f>
        <v/>
      </c>
      <c r="H105" s="14" t="n">
        <v>0</v>
      </c>
      <c r="I105" s="11">
        <f>IF(H105=0,"",IF(A105&lt;2,"X not before month 2",IF(H105&lt;MAX(5000,Inputs!$B$7),"X below min",IF(H105&gt;MIN(5000000,0.75*J105),"X above max","OK"))))</f>
        <v/>
      </c>
      <c r="J105" s="13">
        <f>O104</f>
        <v/>
      </c>
      <c r="K105" s="13">
        <f>IF(J105&lt;=0.005,0,ROUND(J105*Inputs!$B$8,2))</f>
        <v/>
      </c>
      <c r="L105" s="13">
        <f>IF(J105&lt;=0.005,0,MIN(Inputs!$B$7,J105+K105))</f>
        <v/>
      </c>
      <c r="M105" s="13">
        <f>L105-K105</f>
        <v/>
      </c>
      <c r="N105" s="13">
        <f>IF(J105&lt;=0.005,0,MIN(H105,J105-M105))</f>
        <v/>
      </c>
      <c r="O105" s="13">
        <f>ROUND(J105-M105-N105,2)</f>
        <v/>
      </c>
    </row>
    <row r="106">
      <c r="A106" s="11" t="n">
        <v>104</v>
      </c>
      <c r="B106" s="12">
        <f>EDATE(Inputs!$B$6,A106-1)</f>
        <v/>
      </c>
      <c r="C106" s="13">
        <f>G105</f>
        <v/>
      </c>
      <c r="D106" s="13">
        <f>IF(C106&lt;=0.005,0,ROUND(C106*Inputs!$B$8,2))</f>
        <v/>
      </c>
      <c r="E106" s="13">
        <f>IF(C106&lt;=0.005,0,MIN(Inputs!$B$7,C106+D106))</f>
        <v/>
      </c>
      <c r="F106" s="13">
        <f>E106-D106</f>
        <v/>
      </c>
      <c r="G106" s="13">
        <f>ROUND(C106-F106,2)</f>
        <v/>
      </c>
      <c r="H106" s="14" t="n">
        <v>0</v>
      </c>
      <c r="I106" s="11">
        <f>IF(H106=0,"",IF(A106&lt;2,"X not before month 2",IF(H106&lt;MAX(5000,Inputs!$B$7),"X below min",IF(H106&gt;MIN(5000000,0.75*J106),"X above max","OK"))))</f>
        <v/>
      </c>
      <c r="J106" s="13">
        <f>O105</f>
        <v/>
      </c>
      <c r="K106" s="13">
        <f>IF(J106&lt;=0.005,0,ROUND(J106*Inputs!$B$8,2))</f>
        <v/>
      </c>
      <c r="L106" s="13">
        <f>IF(J106&lt;=0.005,0,MIN(Inputs!$B$7,J106+K106))</f>
        <v/>
      </c>
      <c r="M106" s="13">
        <f>L106-K106</f>
        <v/>
      </c>
      <c r="N106" s="13">
        <f>IF(J106&lt;=0.005,0,MIN(H106,J106-M106))</f>
        <v/>
      </c>
      <c r="O106" s="13">
        <f>ROUND(J106-M106-N106,2)</f>
        <v/>
      </c>
    </row>
    <row r="107">
      <c r="A107" s="11" t="n">
        <v>105</v>
      </c>
      <c r="B107" s="12">
        <f>EDATE(Inputs!$B$6,A107-1)</f>
        <v/>
      </c>
      <c r="C107" s="13">
        <f>G106</f>
        <v/>
      </c>
      <c r="D107" s="13">
        <f>IF(C107&lt;=0.005,0,ROUND(C107*Inputs!$B$8,2))</f>
        <v/>
      </c>
      <c r="E107" s="13">
        <f>IF(C107&lt;=0.005,0,MIN(Inputs!$B$7,C107+D107))</f>
        <v/>
      </c>
      <c r="F107" s="13">
        <f>E107-D107</f>
        <v/>
      </c>
      <c r="G107" s="13">
        <f>ROUND(C107-F107,2)</f>
        <v/>
      </c>
      <c r="H107" s="14" t="n">
        <v>0</v>
      </c>
      <c r="I107" s="11">
        <f>IF(H107=0,"",IF(A107&lt;2,"X not before month 2",IF(H107&lt;MAX(5000,Inputs!$B$7),"X below min",IF(H107&gt;MIN(5000000,0.75*J107),"X above max","OK"))))</f>
        <v/>
      </c>
      <c r="J107" s="13">
        <f>O106</f>
        <v/>
      </c>
      <c r="K107" s="13">
        <f>IF(J107&lt;=0.005,0,ROUND(J107*Inputs!$B$8,2))</f>
        <v/>
      </c>
      <c r="L107" s="13">
        <f>IF(J107&lt;=0.005,0,MIN(Inputs!$B$7,J107+K107))</f>
        <v/>
      </c>
      <c r="M107" s="13">
        <f>L107-K107</f>
        <v/>
      </c>
      <c r="N107" s="13">
        <f>IF(J107&lt;=0.005,0,MIN(H107,J107-M107))</f>
        <v/>
      </c>
      <c r="O107" s="13">
        <f>ROUND(J107-M107-N107,2)</f>
        <v/>
      </c>
    </row>
    <row r="108">
      <c r="A108" s="11" t="n">
        <v>106</v>
      </c>
      <c r="B108" s="12">
        <f>EDATE(Inputs!$B$6,A108-1)</f>
        <v/>
      </c>
      <c r="C108" s="13">
        <f>G107</f>
        <v/>
      </c>
      <c r="D108" s="13">
        <f>IF(C108&lt;=0.005,0,ROUND(C108*Inputs!$B$8,2))</f>
        <v/>
      </c>
      <c r="E108" s="13">
        <f>IF(C108&lt;=0.005,0,MIN(Inputs!$B$7,C108+D108))</f>
        <v/>
      </c>
      <c r="F108" s="13">
        <f>E108-D108</f>
        <v/>
      </c>
      <c r="G108" s="13">
        <f>ROUND(C108-F108,2)</f>
        <v/>
      </c>
      <c r="H108" s="14" t="n">
        <v>0</v>
      </c>
      <c r="I108" s="11">
        <f>IF(H108=0,"",IF(A108&lt;2,"X not before month 2",IF(H108&lt;MAX(5000,Inputs!$B$7),"X below min",IF(H108&gt;MIN(5000000,0.75*J108),"X above max","OK"))))</f>
        <v/>
      </c>
      <c r="J108" s="13">
        <f>O107</f>
        <v/>
      </c>
      <c r="K108" s="13">
        <f>IF(J108&lt;=0.005,0,ROUND(J108*Inputs!$B$8,2))</f>
        <v/>
      </c>
      <c r="L108" s="13">
        <f>IF(J108&lt;=0.005,0,MIN(Inputs!$B$7,J108+K108))</f>
        <v/>
      </c>
      <c r="M108" s="13">
        <f>L108-K108</f>
        <v/>
      </c>
      <c r="N108" s="13">
        <f>IF(J108&lt;=0.005,0,MIN(H108,J108-M108))</f>
        <v/>
      </c>
      <c r="O108" s="13">
        <f>ROUND(J108-M108-N108,2)</f>
        <v/>
      </c>
    </row>
    <row r="109">
      <c r="A109" s="11" t="n">
        <v>107</v>
      </c>
      <c r="B109" s="12">
        <f>EDATE(Inputs!$B$6,A109-1)</f>
        <v/>
      </c>
      <c r="C109" s="13">
        <f>G108</f>
        <v/>
      </c>
      <c r="D109" s="13">
        <f>IF(C109&lt;=0.005,0,ROUND(C109*Inputs!$B$8,2))</f>
        <v/>
      </c>
      <c r="E109" s="13">
        <f>IF(C109&lt;=0.005,0,MIN(Inputs!$B$7,C109+D109))</f>
        <v/>
      </c>
      <c r="F109" s="13">
        <f>E109-D109</f>
        <v/>
      </c>
      <c r="G109" s="13">
        <f>ROUND(C109-F109,2)</f>
        <v/>
      </c>
      <c r="H109" s="14" t="n">
        <v>0</v>
      </c>
      <c r="I109" s="11">
        <f>IF(H109=0,"",IF(A109&lt;2,"X not before month 2",IF(H109&lt;MAX(5000,Inputs!$B$7),"X below min",IF(H109&gt;MIN(5000000,0.75*J109),"X above max","OK"))))</f>
        <v/>
      </c>
      <c r="J109" s="13">
        <f>O108</f>
        <v/>
      </c>
      <c r="K109" s="13">
        <f>IF(J109&lt;=0.005,0,ROUND(J109*Inputs!$B$8,2))</f>
        <v/>
      </c>
      <c r="L109" s="13">
        <f>IF(J109&lt;=0.005,0,MIN(Inputs!$B$7,J109+K109))</f>
        <v/>
      </c>
      <c r="M109" s="13">
        <f>L109-K109</f>
        <v/>
      </c>
      <c r="N109" s="13">
        <f>IF(J109&lt;=0.005,0,MIN(H109,J109-M109))</f>
        <v/>
      </c>
      <c r="O109" s="13">
        <f>ROUND(J109-M109-N109,2)</f>
        <v/>
      </c>
    </row>
    <row r="110">
      <c r="A110" s="11" t="n">
        <v>108</v>
      </c>
      <c r="B110" s="12">
        <f>EDATE(Inputs!$B$6,A110-1)</f>
        <v/>
      </c>
      <c r="C110" s="13">
        <f>G109</f>
        <v/>
      </c>
      <c r="D110" s="13">
        <f>IF(C110&lt;=0.005,0,ROUND(C110*Inputs!$B$8,2))</f>
        <v/>
      </c>
      <c r="E110" s="13">
        <f>IF(C110&lt;=0.005,0,MIN(Inputs!$B$7,C110+D110))</f>
        <v/>
      </c>
      <c r="F110" s="13">
        <f>E110-D110</f>
        <v/>
      </c>
      <c r="G110" s="13">
        <f>ROUND(C110-F110,2)</f>
        <v/>
      </c>
      <c r="H110" s="14" t="n">
        <v>0</v>
      </c>
      <c r="I110" s="11">
        <f>IF(H110=0,"",IF(A110&lt;2,"X not before month 2",IF(H110&lt;MAX(5000,Inputs!$B$7),"X below min",IF(H110&gt;MIN(5000000,0.75*J110),"X above max","OK"))))</f>
        <v/>
      </c>
      <c r="J110" s="13">
        <f>O109</f>
        <v/>
      </c>
      <c r="K110" s="13">
        <f>IF(J110&lt;=0.005,0,ROUND(J110*Inputs!$B$8,2))</f>
        <v/>
      </c>
      <c r="L110" s="13">
        <f>IF(J110&lt;=0.005,0,MIN(Inputs!$B$7,J110+K110))</f>
        <v/>
      </c>
      <c r="M110" s="13">
        <f>L110-K110</f>
        <v/>
      </c>
      <c r="N110" s="13">
        <f>IF(J110&lt;=0.005,0,MIN(H110,J110-M110))</f>
        <v/>
      </c>
      <c r="O110" s="13">
        <f>ROUND(J110-M110-N110,2)</f>
        <v/>
      </c>
    </row>
    <row r="111">
      <c r="A111" s="11" t="n">
        <v>109</v>
      </c>
      <c r="B111" s="12">
        <f>EDATE(Inputs!$B$6,A111-1)</f>
        <v/>
      </c>
      <c r="C111" s="13">
        <f>G110</f>
        <v/>
      </c>
      <c r="D111" s="13">
        <f>IF(C111&lt;=0.005,0,ROUND(C111*Inputs!$B$8,2))</f>
        <v/>
      </c>
      <c r="E111" s="13">
        <f>IF(C111&lt;=0.005,0,MIN(Inputs!$B$7,C111+D111))</f>
        <v/>
      </c>
      <c r="F111" s="13">
        <f>E111-D111</f>
        <v/>
      </c>
      <c r="G111" s="13">
        <f>ROUND(C111-F111,2)</f>
        <v/>
      </c>
      <c r="H111" s="14" t="n">
        <v>0</v>
      </c>
      <c r="I111" s="11">
        <f>IF(H111=0,"",IF(A111&lt;2,"X not before month 2",IF(H111&lt;MAX(5000,Inputs!$B$7),"X below min",IF(H111&gt;MIN(5000000,0.75*J111),"X above max","OK"))))</f>
        <v/>
      </c>
      <c r="J111" s="13">
        <f>O110</f>
        <v/>
      </c>
      <c r="K111" s="13">
        <f>IF(J111&lt;=0.005,0,ROUND(J111*Inputs!$B$8,2))</f>
        <v/>
      </c>
      <c r="L111" s="13">
        <f>IF(J111&lt;=0.005,0,MIN(Inputs!$B$7,J111+K111))</f>
        <v/>
      </c>
      <c r="M111" s="13">
        <f>L111-K111</f>
        <v/>
      </c>
      <c r="N111" s="13">
        <f>IF(J111&lt;=0.005,0,MIN(H111,J111-M111))</f>
        <v/>
      </c>
      <c r="O111" s="13">
        <f>ROUND(J111-M111-N111,2)</f>
        <v/>
      </c>
    </row>
    <row r="112">
      <c r="A112" s="11" t="n">
        <v>110</v>
      </c>
      <c r="B112" s="12">
        <f>EDATE(Inputs!$B$6,A112-1)</f>
        <v/>
      </c>
      <c r="C112" s="13">
        <f>G111</f>
        <v/>
      </c>
      <c r="D112" s="13">
        <f>IF(C112&lt;=0.005,0,ROUND(C112*Inputs!$B$8,2))</f>
        <v/>
      </c>
      <c r="E112" s="13">
        <f>IF(C112&lt;=0.005,0,MIN(Inputs!$B$7,C112+D112))</f>
        <v/>
      </c>
      <c r="F112" s="13">
        <f>E112-D112</f>
        <v/>
      </c>
      <c r="G112" s="13">
        <f>ROUND(C112-F112,2)</f>
        <v/>
      </c>
      <c r="H112" s="14" t="n">
        <v>0</v>
      </c>
      <c r="I112" s="11">
        <f>IF(H112=0,"",IF(A112&lt;2,"X not before month 2",IF(H112&lt;MAX(5000,Inputs!$B$7),"X below min",IF(H112&gt;MIN(5000000,0.75*J112),"X above max","OK"))))</f>
        <v/>
      </c>
      <c r="J112" s="13">
        <f>O111</f>
        <v/>
      </c>
      <c r="K112" s="13">
        <f>IF(J112&lt;=0.005,0,ROUND(J112*Inputs!$B$8,2))</f>
        <v/>
      </c>
      <c r="L112" s="13">
        <f>IF(J112&lt;=0.005,0,MIN(Inputs!$B$7,J112+K112))</f>
        <v/>
      </c>
      <c r="M112" s="13">
        <f>L112-K112</f>
        <v/>
      </c>
      <c r="N112" s="13">
        <f>IF(J112&lt;=0.005,0,MIN(H112,J112-M112))</f>
        <v/>
      </c>
      <c r="O112" s="13">
        <f>ROUND(J112-M112-N112,2)</f>
        <v/>
      </c>
    </row>
    <row r="113">
      <c r="A113" s="11" t="n">
        <v>111</v>
      </c>
      <c r="B113" s="12">
        <f>EDATE(Inputs!$B$6,A113-1)</f>
        <v/>
      </c>
      <c r="C113" s="13">
        <f>G112</f>
        <v/>
      </c>
      <c r="D113" s="13">
        <f>IF(C113&lt;=0.005,0,ROUND(C113*Inputs!$B$8,2))</f>
        <v/>
      </c>
      <c r="E113" s="13">
        <f>IF(C113&lt;=0.005,0,MIN(Inputs!$B$7,C113+D113))</f>
        <v/>
      </c>
      <c r="F113" s="13">
        <f>E113-D113</f>
        <v/>
      </c>
      <c r="G113" s="13">
        <f>ROUND(C113-F113,2)</f>
        <v/>
      </c>
      <c r="H113" s="14" t="n">
        <v>0</v>
      </c>
      <c r="I113" s="11">
        <f>IF(H113=0,"",IF(A113&lt;2,"X not before month 2",IF(H113&lt;MAX(5000,Inputs!$B$7),"X below min",IF(H113&gt;MIN(5000000,0.75*J113),"X above max","OK"))))</f>
        <v/>
      </c>
      <c r="J113" s="13">
        <f>O112</f>
        <v/>
      </c>
      <c r="K113" s="13">
        <f>IF(J113&lt;=0.005,0,ROUND(J113*Inputs!$B$8,2))</f>
        <v/>
      </c>
      <c r="L113" s="13">
        <f>IF(J113&lt;=0.005,0,MIN(Inputs!$B$7,J113+K113))</f>
        <v/>
      </c>
      <c r="M113" s="13">
        <f>L113-K113</f>
        <v/>
      </c>
      <c r="N113" s="13">
        <f>IF(J113&lt;=0.005,0,MIN(H113,J113-M113))</f>
        <v/>
      </c>
      <c r="O113" s="13">
        <f>ROUND(J113-M113-N113,2)</f>
        <v/>
      </c>
    </row>
    <row r="114">
      <c r="A114" s="11" t="n">
        <v>112</v>
      </c>
      <c r="B114" s="12">
        <f>EDATE(Inputs!$B$6,A114-1)</f>
        <v/>
      </c>
      <c r="C114" s="13">
        <f>G113</f>
        <v/>
      </c>
      <c r="D114" s="13">
        <f>IF(C114&lt;=0.005,0,ROUND(C114*Inputs!$B$8,2))</f>
        <v/>
      </c>
      <c r="E114" s="13">
        <f>IF(C114&lt;=0.005,0,MIN(Inputs!$B$7,C114+D114))</f>
        <v/>
      </c>
      <c r="F114" s="13">
        <f>E114-D114</f>
        <v/>
      </c>
      <c r="G114" s="13">
        <f>ROUND(C114-F114,2)</f>
        <v/>
      </c>
      <c r="H114" s="14" t="n">
        <v>0</v>
      </c>
      <c r="I114" s="11">
        <f>IF(H114=0,"",IF(A114&lt;2,"X not before month 2",IF(H114&lt;MAX(5000,Inputs!$B$7),"X below min",IF(H114&gt;MIN(5000000,0.75*J114),"X above max","OK"))))</f>
        <v/>
      </c>
      <c r="J114" s="13">
        <f>O113</f>
        <v/>
      </c>
      <c r="K114" s="13">
        <f>IF(J114&lt;=0.005,0,ROUND(J114*Inputs!$B$8,2))</f>
        <v/>
      </c>
      <c r="L114" s="13">
        <f>IF(J114&lt;=0.005,0,MIN(Inputs!$B$7,J114+K114))</f>
        <v/>
      </c>
      <c r="M114" s="13">
        <f>L114-K114</f>
        <v/>
      </c>
      <c r="N114" s="13">
        <f>IF(J114&lt;=0.005,0,MIN(H114,J114-M114))</f>
        <v/>
      </c>
      <c r="O114" s="13">
        <f>ROUND(J114-M114-N114,2)</f>
        <v/>
      </c>
    </row>
    <row r="115">
      <c r="A115" s="11" t="n">
        <v>113</v>
      </c>
      <c r="B115" s="12">
        <f>EDATE(Inputs!$B$6,A115-1)</f>
        <v/>
      </c>
      <c r="C115" s="13">
        <f>G114</f>
        <v/>
      </c>
      <c r="D115" s="13">
        <f>IF(C115&lt;=0.005,0,ROUND(C115*Inputs!$B$8,2))</f>
        <v/>
      </c>
      <c r="E115" s="13">
        <f>IF(C115&lt;=0.005,0,MIN(Inputs!$B$7,C115+D115))</f>
        <v/>
      </c>
      <c r="F115" s="13">
        <f>E115-D115</f>
        <v/>
      </c>
      <c r="G115" s="13">
        <f>ROUND(C115-F115,2)</f>
        <v/>
      </c>
      <c r="H115" s="14" t="n">
        <v>0</v>
      </c>
      <c r="I115" s="11">
        <f>IF(H115=0,"",IF(A115&lt;2,"X not before month 2",IF(H115&lt;MAX(5000,Inputs!$B$7),"X below min",IF(H115&gt;MIN(5000000,0.75*J115),"X above max","OK"))))</f>
        <v/>
      </c>
      <c r="J115" s="13">
        <f>O114</f>
        <v/>
      </c>
      <c r="K115" s="13">
        <f>IF(J115&lt;=0.005,0,ROUND(J115*Inputs!$B$8,2))</f>
        <v/>
      </c>
      <c r="L115" s="13">
        <f>IF(J115&lt;=0.005,0,MIN(Inputs!$B$7,J115+K115))</f>
        <v/>
      </c>
      <c r="M115" s="13">
        <f>L115-K115</f>
        <v/>
      </c>
      <c r="N115" s="13">
        <f>IF(J115&lt;=0.005,0,MIN(H115,J115-M115))</f>
        <v/>
      </c>
      <c r="O115" s="13">
        <f>ROUND(J115-M115-N115,2)</f>
        <v/>
      </c>
    </row>
    <row r="116">
      <c r="A116" s="11" t="n">
        <v>114</v>
      </c>
      <c r="B116" s="12">
        <f>EDATE(Inputs!$B$6,A116-1)</f>
        <v/>
      </c>
      <c r="C116" s="13">
        <f>G115</f>
        <v/>
      </c>
      <c r="D116" s="13">
        <f>IF(C116&lt;=0.005,0,ROUND(C116*Inputs!$B$8,2))</f>
        <v/>
      </c>
      <c r="E116" s="13">
        <f>IF(C116&lt;=0.005,0,MIN(Inputs!$B$7,C116+D116))</f>
        <v/>
      </c>
      <c r="F116" s="13">
        <f>E116-D116</f>
        <v/>
      </c>
      <c r="G116" s="13">
        <f>ROUND(C116-F116,2)</f>
        <v/>
      </c>
      <c r="H116" s="14" t="n">
        <v>0</v>
      </c>
      <c r="I116" s="11">
        <f>IF(H116=0,"",IF(A116&lt;2,"X not before month 2",IF(H116&lt;MAX(5000,Inputs!$B$7),"X below min",IF(H116&gt;MIN(5000000,0.75*J116),"X above max","OK"))))</f>
        <v/>
      </c>
      <c r="J116" s="13">
        <f>O115</f>
        <v/>
      </c>
      <c r="K116" s="13">
        <f>IF(J116&lt;=0.005,0,ROUND(J116*Inputs!$B$8,2))</f>
        <v/>
      </c>
      <c r="L116" s="13">
        <f>IF(J116&lt;=0.005,0,MIN(Inputs!$B$7,J116+K116))</f>
        <v/>
      </c>
      <c r="M116" s="13">
        <f>L116-K116</f>
        <v/>
      </c>
      <c r="N116" s="13">
        <f>IF(J116&lt;=0.005,0,MIN(H116,J116-M116))</f>
        <v/>
      </c>
      <c r="O116" s="13">
        <f>ROUND(J116-M116-N116,2)</f>
        <v/>
      </c>
    </row>
    <row r="117">
      <c r="A117" s="11" t="n">
        <v>115</v>
      </c>
      <c r="B117" s="12">
        <f>EDATE(Inputs!$B$6,A117-1)</f>
        <v/>
      </c>
      <c r="C117" s="13">
        <f>G116</f>
        <v/>
      </c>
      <c r="D117" s="13">
        <f>IF(C117&lt;=0.005,0,ROUND(C117*Inputs!$B$8,2))</f>
        <v/>
      </c>
      <c r="E117" s="13">
        <f>IF(C117&lt;=0.005,0,MIN(Inputs!$B$7,C117+D117))</f>
        <v/>
      </c>
      <c r="F117" s="13">
        <f>E117-D117</f>
        <v/>
      </c>
      <c r="G117" s="13">
        <f>ROUND(C117-F117,2)</f>
        <v/>
      </c>
      <c r="H117" s="14" t="n">
        <v>0</v>
      </c>
      <c r="I117" s="11">
        <f>IF(H117=0,"",IF(A117&lt;2,"X not before month 2",IF(H117&lt;MAX(5000,Inputs!$B$7),"X below min",IF(H117&gt;MIN(5000000,0.75*J117),"X above max","OK"))))</f>
        <v/>
      </c>
      <c r="J117" s="13">
        <f>O116</f>
        <v/>
      </c>
      <c r="K117" s="13">
        <f>IF(J117&lt;=0.005,0,ROUND(J117*Inputs!$B$8,2))</f>
        <v/>
      </c>
      <c r="L117" s="13">
        <f>IF(J117&lt;=0.005,0,MIN(Inputs!$B$7,J117+K117))</f>
        <v/>
      </c>
      <c r="M117" s="13">
        <f>L117-K117</f>
        <v/>
      </c>
      <c r="N117" s="13">
        <f>IF(J117&lt;=0.005,0,MIN(H117,J117-M117))</f>
        <v/>
      </c>
      <c r="O117" s="13">
        <f>ROUND(J117-M117-N117,2)</f>
        <v/>
      </c>
    </row>
    <row r="118">
      <c r="A118" s="11" t="n">
        <v>116</v>
      </c>
      <c r="B118" s="12">
        <f>EDATE(Inputs!$B$6,A118-1)</f>
        <v/>
      </c>
      <c r="C118" s="13">
        <f>G117</f>
        <v/>
      </c>
      <c r="D118" s="13">
        <f>IF(C118&lt;=0.005,0,ROUND(C118*Inputs!$B$8,2))</f>
        <v/>
      </c>
      <c r="E118" s="13">
        <f>IF(C118&lt;=0.005,0,MIN(Inputs!$B$7,C118+D118))</f>
        <v/>
      </c>
      <c r="F118" s="13">
        <f>E118-D118</f>
        <v/>
      </c>
      <c r="G118" s="13">
        <f>ROUND(C118-F118,2)</f>
        <v/>
      </c>
      <c r="H118" s="14" t="n">
        <v>0</v>
      </c>
      <c r="I118" s="11">
        <f>IF(H118=0,"",IF(A118&lt;2,"X not before month 2",IF(H118&lt;MAX(5000,Inputs!$B$7),"X below min",IF(H118&gt;MIN(5000000,0.75*J118),"X above max","OK"))))</f>
        <v/>
      </c>
      <c r="J118" s="13">
        <f>O117</f>
        <v/>
      </c>
      <c r="K118" s="13">
        <f>IF(J118&lt;=0.005,0,ROUND(J118*Inputs!$B$8,2))</f>
        <v/>
      </c>
      <c r="L118" s="13">
        <f>IF(J118&lt;=0.005,0,MIN(Inputs!$B$7,J118+K118))</f>
        <v/>
      </c>
      <c r="M118" s="13">
        <f>L118-K118</f>
        <v/>
      </c>
      <c r="N118" s="13">
        <f>IF(J118&lt;=0.005,0,MIN(H118,J118-M118))</f>
        <v/>
      </c>
      <c r="O118" s="13">
        <f>ROUND(J118-M118-N118,2)</f>
        <v/>
      </c>
    </row>
    <row r="119">
      <c r="A119" s="11" t="n">
        <v>117</v>
      </c>
      <c r="B119" s="12">
        <f>EDATE(Inputs!$B$6,A119-1)</f>
        <v/>
      </c>
      <c r="C119" s="13">
        <f>G118</f>
        <v/>
      </c>
      <c r="D119" s="13">
        <f>IF(C119&lt;=0.005,0,ROUND(C119*Inputs!$B$8,2))</f>
        <v/>
      </c>
      <c r="E119" s="13">
        <f>IF(C119&lt;=0.005,0,MIN(Inputs!$B$7,C119+D119))</f>
        <v/>
      </c>
      <c r="F119" s="13">
        <f>E119-D119</f>
        <v/>
      </c>
      <c r="G119" s="13">
        <f>ROUND(C119-F119,2)</f>
        <v/>
      </c>
      <c r="H119" s="14" t="n">
        <v>0</v>
      </c>
      <c r="I119" s="11">
        <f>IF(H119=0,"",IF(A119&lt;2,"X not before month 2",IF(H119&lt;MAX(5000,Inputs!$B$7),"X below min",IF(H119&gt;MIN(5000000,0.75*J119),"X above max","OK"))))</f>
        <v/>
      </c>
      <c r="J119" s="13">
        <f>O118</f>
        <v/>
      </c>
      <c r="K119" s="13">
        <f>IF(J119&lt;=0.005,0,ROUND(J119*Inputs!$B$8,2))</f>
        <v/>
      </c>
      <c r="L119" s="13">
        <f>IF(J119&lt;=0.005,0,MIN(Inputs!$B$7,J119+K119))</f>
        <v/>
      </c>
      <c r="M119" s="13">
        <f>L119-K119</f>
        <v/>
      </c>
      <c r="N119" s="13">
        <f>IF(J119&lt;=0.005,0,MIN(H119,J119-M119))</f>
        <v/>
      </c>
      <c r="O119" s="13">
        <f>ROUND(J119-M119-N119,2)</f>
        <v/>
      </c>
    </row>
    <row r="120">
      <c r="A120" s="11" t="n">
        <v>118</v>
      </c>
      <c r="B120" s="12">
        <f>EDATE(Inputs!$B$6,A120-1)</f>
        <v/>
      </c>
      <c r="C120" s="13">
        <f>G119</f>
        <v/>
      </c>
      <c r="D120" s="13">
        <f>IF(C120&lt;=0.005,0,ROUND(C120*Inputs!$B$8,2))</f>
        <v/>
      </c>
      <c r="E120" s="13">
        <f>IF(C120&lt;=0.005,0,MIN(Inputs!$B$7,C120+D120))</f>
        <v/>
      </c>
      <c r="F120" s="13">
        <f>E120-D120</f>
        <v/>
      </c>
      <c r="G120" s="13">
        <f>ROUND(C120-F120,2)</f>
        <v/>
      </c>
      <c r="H120" s="14" t="n">
        <v>0</v>
      </c>
      <c r="I120" s="11">
        <f>IF(H120=0,"",IF(A120&lt;2,"X not before month 2",IF(H120&lt;MAX(5000,Inputs!$B$7),"X below min",IF(H120&gt;MIN(5000000,0.75*J120),"X above max","OK"))))</f>
        <v/>
      </c>
      <c r="J120" s="13">
        <f>O119</f>
        <v/>
      </c>
      <c r="K120" s="13">
        <f>IF(J120&lt;=0.005,0,ROUND(J120*Inputs!$B$8,2))</f>
        <v/>
      </c>
      <c r="L120" s="13">
        <f>IF(J120&lt;=0.005,0,MIN(Inputs!$B$7,J120+K120))</f>
        <v/>
      </c>
      <c r="M120" s="13">
        <f>L120-K120</f>
        <v/>
      </c>
      <c r="N120" s="13">
        <f>IF(J120&lt;=0.005,0,MIN(H120,J120-M120))</f>
        <v/>
      </c>
      <c r="O120" s="13">
        <f>ROUND(J120-M120-N120,2)</f>
        <v/>
      </c>
    </row>
    <row r="121">
      <c r="A121" s="11" t="n">
        <v>119</v>
      </c>
      <c r="B121" s="12">
        <f>EDATE(Inputs!$B$6,A121-1)</f>
        <v/>
      </c>
      <c r="C121" s="13">
        <f>G120</f>
        <v/>
      </c>
      <c r="D121" s="13">
        <f>IF(C121&lt;=0.005,0,ROUND(C121*Inputs!$B$8,2))</f>
        <v/>
      </c>
      <c r="E121" s="13">
        <f>IF(C121&lt;=0.005,0,MIN(Inputs!$B$7,C121+D121))</f>
        <v/>
      </c>
      <c r="F121" s="13">
        <f>E121-D121</f>
        <v/>
      </c>
      <c r="G121" s="13">
        <f>ROUND(C121-F121,2)</f>
        <v/>
      </c>
      <c r="H121" s="14" t="n">
        <v>0</v>
      </c>
      <c r="I121" s="11">
        <f>IF(H121=0,"",IF(A121&lt;2,"X not before month 2",IF(H121&lt;MAX(5000,Inputs!$B$7),"X below min",IF(H121&gt;MIN(5000000,0.75*J121),"X above max","OK"))))</f>
        <v/>
      </c>
      <c r="J121" s="13">
        <f>O120</f>
        <v/>
      </c>
      <c r="K121" s="13">
        <f>IF(J121&lt;=0.005,0,ROUND(J121*Inputs!$B$8,2))</f>
        <v/>
      </c>
      <c r="L121" s="13">
        <f>IF(J121&lt;=0.005,0,MIN(Inputs!$B$7,J121+K121))</f>
        <v/>
      </c>
      <c r="M121" s="13">
        <f>L121-K121</f>
        <v/>
      </c>
      <c r="N121" s="13">
        <f>IF(J121&lt;=0.005,0,MIN(H121,J121-M121))</f>
        <v/>
      </c>
      <c r="O121" s="13">
        <f>ROUND(J121-M121-N121,2)</f>
        <v/>
      </c>
    </row>
    <row r="122">
      <c r="A122" s="11" t="n">
        <v>120</v>
      </c>
      <c r="B122" s="12">
        <f>EDATE(Inputs!$B$6,A122-1)</f>
        <v/>
      </c>
      <c r="C122" s="13">
        <f>G121</f>
        <v/>
      </c>
      <c r="D122" s="13">
        <f>IF(C122&lt;=0.005,0,ROUND(C122*Inputs!$B$8,2))</f>
        <v/>
      </c>
      <c r="E122" s="13">
        <f>IF(C122&lt;=0.005,0,MIN(Inputs!$B$7,C122+D122))</f>
        <v/>
      </c>
      <c r="F122" s="13">
        <f>E122-D122</f>
        <v/>
      </c>
      <c r="G122" s="13">
        <f>ROUND(C122-F122,2)</f>
        <v/>
      </c>
      <c r="H122" s="14" t="n">
        <v>0</v>
      </c>
      <c r="I122" s="11">
        <f>IF(H122=0,"",IF(A122&lt;2,"X not before month 2",IF(H122&lt;MAX(5000,Inputs!$B$7),"X below min",IF(H122&gt;MIN(5000000,0.75*J122),"X above max","OK"))))</f>
        <v/>
      </c>
      <c r="J122" s="13">
        <f>O121</f>
        <v/>
      </c>
      <c r="K122" s="13">
        <f>IF(J122&lt;=0.005,0,ROUND(J122*Inputs!$B$8,2))</f>
        <v/>
      </c>
      <c r="L122" s="13">
        <f>IF(J122&lt;=0.005,0,MIN(Inputs!$B$7,J122+K122))</f>
        <v/>
      </c>
      <c r="M122" s="13">
        <f>L122-K122</f>
        <v/>
      </c>
      <c r="N122" s="13">
        <f>IF(J122&lt;=0.005,0,MIN(H122,J122-M122))</f>
        <v/>
      </c>
      <c r="O122" s="13">
        <f>ROUND(J122-M122-N122,2)</f>
        <v/>
      </c>
    </row>
    <row r="123">
      <c r="A123" s="11" t="n">
        <v>121</v>
      </c>
      <c r="B123" s="12">
        <f>EDATE(Inputs!$B$6,A123-1)</f>
        <v/>
      </c>
      <c r="C123" s="13">
        <f>G122</f>
        <v/>
      </c>
      <c r="D123" s="13">
        <f>IF(C123&lt;=0.005,0,ROUND(C123*Inputs!$B$8,2))</f>
        <v/>
      </c>
      <c r="E123" s="13">
        <f>IF(C123&lt;=0.005,0,MIN(Inputs!$B$7,C123+D123))</f>
        <v/>
      </c>
      <c r="F123" s="13">
        <f>E123-D123</f>
        <v/>
      </c>
      <c r="G123" s="13">
        <f>ROUND(C123-F123,2)</f>
        <v/>
      </c>
      <c r="H123" s="14" t="n">
        <v>0</v>
      </c>
      <c r="I123" s="11">
        <f>IF(H123=0,"",IF(A123&lt;2,"X not before month 2",IF(H123&lt;MAX(5000,Inputs!$B$7),"X below min",IF(H123&gt;MIN(5000000,0.75*J123),"X above max","OK"))))</f>
        <v/>
      </c>
      <c r="J123" s="13">
        <f>O122</f>
        <v/>
      </c>
      <c r="K123" s="13">
        <f>IF(J123&lt;=0.005,0,ROUND(J123*Inputs!$B$8,2))</f>
        <v/>
      </c>
      <c r="L123" s="13">
        <f>IF(J123&lt;=0.005,0,MIN(Inputs!$B$7,J123+K123))</f>
        <v/>
      </c>
      <c r="M123" s="13">
        <f>L123-K123</f>
        <v/>
      </c>
      <c r="N123" s="13">
        <f>IF(J123&lt;=0.005,0,MIN(H123,J123-M123))</f>
        <v/>
      </c>
      <c r="O123" s="13">
        <f>ROUND(J123-M123-N123,2)</f>
        <v/>
      </c>
    </row>
    <row r="124">
      <c r="A124" s="11" t="n">
        <v>122</v>
      </c>
      <c r="B124" s="12">
        <f>EDATE(Inputs!$B$6,A124-1)</f>
        <v/>
      </c>
      <c r="C124" s="13">
        <f>G123</f>
        <v/>
      </c>
      <c r="D124" s="13">
        <f>IF(C124&lt;=0.005,0,ROUND(C124*Inputs!$B$8,2))</f>
        <v/>
      </c>
      <c r="E124" s="13">
        <f>IF(C124&lt;=0.005,0,MIN(Inputs!$B$7,C124+D124))</f>
        <v/>
      </c>
      <c r="F124" s="13">
        <f>E124-D124</f>
        <v/>
      </c>
      <c r="G124" s="13">
        <f>ROUND(C124-F124,2)</f>
        <v/>
      </c>
      <c r="H124" s="14" t="n">
        <v>0</v>
      </c>
      <c r="I124" s="11">
        <f>IF(H124=0,"",IF(A124&lt;2,"X not before month 2",IF(H124&lt;MAX(5000,Inputs!$B$7),"X below min",IF(H124&gt;MIN(5000000,0.75*J124),"X above max","OK"))))</f>
        <v/>
      </c>
      <c r="J124" s="13">
        <f>O123</f>
        <v/>
      </c>
      <c r="K124" s="13">
        <f>IF(J124&lt;=0.005,0,ROUND(J124*Inputs!$B$8,2))</f>
        <v/>
      </c>
      <c r="L124" s="13">
        <f>IF(J124&lt;=0.005,0,MIN(Inputs!$B$7,J124+K124))</f>
        <v/>
      </c>
      <c r="M124" s="13">
        <f>L124-K124</f>
        <v/>
      </c>
      <c r="N124" s="13">
        <f>IF(J124&lt;=0.005,0,MIN(H124,J124-M124))</f>
        <v/>
      </c>
      <c r="O124" s="13">
        <f>ROUND(J124-M124-N124,2)</f>
        <v/>
      </c>
    </row>
    <row r="125">
      <c r="A125" s="11" t="n">
        <v>123</v>
      </c>
      <c r="B125" s="12">
        <f>EDATE(Inputs!$B$6,A125-1)</f>
        <v/>
      </c>
      <c r="C125" s="13">
        <f>G124</f>
        <v/>
      </c>
      <c r="D125" s="13">
        <f>IF(C125&lt;=0.005,0,ROUND(C125*Inputs!$B$8,2))</f>
        <v/>
      </c>
      <c r="E125" s="13">
        <f>IF(C125&lt;=0.005,0,MIN(Inputs!$B$7,C125+D125))</f>
        <v/>
      </c>
      <c r="F125" s="13">
        <f>E125-D125</f>
        <v/>
      </c>
      <c r="G125" s="13">
        <f>ROUND(C125-F125,2)</f>
        <v/>
      </c>
      <c r="H125" s="14" t="n">
        <v>0</v>
      </c>
      <c r="I125" s="11">
        <f>IF(H125=0,"",IF(A125&lt;2,"X not before month 2",IF(H125&lt;MAX(5000,Inputs!$B$7),"X below min",IF(H125&gt;MIN(5000000,0.75*J125),"X above max","OK"))))</f>
        <v/>
      </c>
      <c r="J125" s="13">
        <f>O124</f>
        <v/>
      </c>
      <c r="K125" s="13">
        <f>IF(J125&lt;=0.005,0,ROUND(J125*Inputs!$B$8,2))</f>
        <v/>
      </c>
      <c r="L125" s="13">
        <f>IF(J125&lt;=0.005,0,MIN(Inputs!$B$7,J125+K125))</f>
        <v/>
      </c>
      <c r="M125" s="13">
        <f>L125-K125</f>
        <v/>
      </c>
      <c r="N125" s="13">
        <f>IF(J125&lt;=0.005,0,MIN(H125,J125-M125))</f>
        <v/>
      </c>
      <c r="O125" s="13">
        <f>ROUND(J125-M125-N125,2)</f>
        <v/>
      </c>
    </row>
    <row r="126">
      <c r="A126" s="11" t="n">
        <v>124</v>
      </c>
      <c r="B126" s="12">
        <f>EDATE(Inputs!$B$6,A126-1)</f>
        <v/>
      </c>
      <c r="C126" s="13">
        <f>G125</f>
        <v/>
      </c>
      <c r="D126" s="13">
        <f>IF(C126&lt;=0.005,0,ROUND(C126*Inputs!$B$8,2))</f>
        <v/>
      </c>
      <c r="E126" s="13">
        <f>IF(C126&lt;=0.005,0,MIN(Inputs!$B$7,C126+D126))</f>
        <v/>
      </c>
      <c r="F126" s="13">
        <f>E126-D126</f>
        <v/>
      </c>
      <c r="G126" s="13">
        <f>ROUND(C126-F126,2)</f>
        <v/>
      </c>
      <c r="H126" s="14" t="n">
        <v>0</v>
      </c>
      <c r="I126" s="11">
        <f>IF(H126=0,"",IF(A126&lt;2,"X not before month 2",IF(H126&lt;MAX(5000,Inputs!$B$7),"X below min",IF(H126&gt;MIN(5000000,0.75*J126),"X above max","OK"))))</f>
        <v/>
      </c>
      <c r="J126" s="13">
        <f>O125</f>
        <v/>
      </c>
      <c r="K126" s="13">
        <f>IF(J126&lt;=0.005,0,ROUND(J126*Inputs!$B$8,2))</f>
        <v/>
      </c>
      <c r="L126" s="13">
        <f>IF(J126&lt;=0.005,0,MIN(Inputs!$B$7,J126+K126))</f>
        <v/>
      </c>
      <c r="M126" s="13">
        <f>L126-K126</f>
        <v/>
      </c>
      <c r="N126" s="13">
        <f>IF(J126&lt;=0.005,0,MIN(H126,J126-M126))</f>
        <v/>
      </c>
      <c r="O126" s="13">
        <f>ROUND(J126-M126-N126,2)</f>
        <v/>
      </c>
    </row>
    <row r="127">
      <c r="A127" s="11" t="n">
        <v>125</v>
      </c>
      <c r="B127" s="12">
        <f>EDATE(Inputs!$B$6,A127-1)</f>
        <v/>
      </c>
      <c r="C127" s="13">
        <f>G126</f>
        <v/>
      </c>
      <c r="D127" s="13">
        <f>IF(C127&lt;=0.005,0,ROUND(C127*Inputs!$B$8,2))</f>
        <v/>
      </c>
      <c r="E127" s="13">
        <f>IF(C127&lt;=0.005,0,MIN(Inputs!$B$7,C127+D127))</f>
        <v/>
      </c>
      <c r="F127" s="13">
        <f>E127-D127</f>
        <v/>
      </c>
      <c r="G127" s="13">
        <f>ROUND(C127-F127,2)</f>
        <v/>
      </c>
      <c r="H127" s="14" t="n">
        <v>0</v>
      </c>
      <c r="I127" s="11">
        <f>IF(H127=0,"",IF(A127&lt;2,"X not before month 2",IF(H127&lt;MAX(5000,Inputs!$B$7),"X below min",IF(H127&gt;MIN(5000000,0.75*J127),"X above max","OK"))))</f>
        <v/>
      </c>
      <c r="J127" s="13">
        <f>O126</f>
        <v/>
      </c>
      <c r="K127" s="13">
        <f>IF(J127&lt;=0.005,0,ROUND(J127*Inputs!$B$8,2))</f>
        <v/>
      </c>
      <c r="L127" s="13">
        <f>IF(J127&lt;=0.005,0,MIN(Inputs!$B$7,J127+K127))</f>
        <v/>
      </c>
      <c r="M127" s="13">
        <f>L127-K127</f>
        <v/>
      </c>
      <c r="N127" s="13">
        <f>IF(J127&lt;=0.005,0,MIN(H127,J127-M127))</f>
        <v/>
      </c>
      <c r="O127" s="13">
        <f>ROUND(J127-M127-N127,2)</f>
        <v/>
      </c>
    </row>
    <row r="128">
      <c r="A128" s="11" t="n">
        <v>126</v>
      </c>
      <c r="B128" s="12">
        <f>EDATE(Inputs!$B$6,A128-1)</f>
        <v/>
      </c>
      <c r="C128" s="13">
        <f>G127</f>
        <v/>
      </c>
      <c r="D128" s="13">
        <f>IF(C128&lt;=0.005,0,ROUND(C128*Inputs!$B$8,2))</f>
        <v/>
      </c>
      <c r="E128" s="13">
        <f>IF(C128&lt;=0.005,0,MIN(Inputs!$B$7,C128+D128))</f>
        <v/>
      </c>
      <c r="F128" s="13">
        <f>E128-D128</f>
        <v/>
      </c>
      <c r="G128" s="13">
        <f>ROUND(C128-F128,2)</f>
        <v/>
      </c>
      <c r="H128" s="14" t="n">
        <v>0</v>
      </c>
      <c r="I128" s="11">
        <f>IF(H128=0,"",IF(A128&lt;2,"X not before month 2",IF(H128&lt;MAX(5000,Inputs!$B$7),"X below min",IF(H128&gt;MIN(5000000,0.75*J128),"X above max","OK"))))</f>
        <v/>
      </c>
      <c r="J128" s="13">
        <f>O127</f>
        <v/>
      </c>
      <c r="K128" s="13">
        <f>IF(J128&lt;=0.005,0,ROUND(J128*Inputs!$B$8,2))</f>
        <v/>
      </c>
      <c r="L128" s="13">
        <f>IF(J128&lt;=0.005,0,MIN(Inputs!$B$7,J128+K128))</f>
        <v/>
      </c>
      <c r="M128" s="13">
        <f>L128-K128</f>
        <v/>
      </c>
      <c r="N128" s="13">
        <f>IF(J128&lt;=0.005,0,MIN(H128,J128-M128))</f>
        <v/>
      </c>
      <c r="O128" s="13">
        <f>ROUND(J128-M128-N128,2)</f>
        <v/>
      </c>
    </row>
    <row r="129">
      <c r="A129" s="11" t="n">
        <v>127</v>
      </c>
      <c r="B129" s="12">
        <f>EDATE(Inputs!$B$6,A129-1)</f>
        <v/>
      </c>
      <c r="C129" s="13">
        <f>G128</f>
        <v/>
      </c>
      <c r="D129" s="13">
        <f>IF(C129&lt;=0.005,0,ROUND(C129*Inputs!$B$8,2))</f>
        <v/>
      </c>
      <c r="E129" s="13">
        <f>IF(C129&lt;=0.005,0,MIN(Inputs!$B$7,C129+D129))</f>
        <v/>
      </c>
      <c r="F129" s="13">
        <f>E129-D129</f>
        <v/>
      </c>
      <c r="G129" s="13">
        <f>ROUND(C129-F129,2)</f>
        <v/>
      </c>
      <c r="H129" s="14" t="n">
        <v>0</v>
      </c>
      <c r="I129" s="11">
        <f>IF(H129=0,"",IF(A129&lt;2,"X not before month 2",IF(H129&lt;MAX(5000,Inputs!$B$7),"X below min",IF(H129&gt;MIN(5000000,0.75*J129),"X above max","OK"))))</f>
        <v/>
      </c>
      <c r="J129" s="13">
        <f>O128</f>
        <v/>
      </c>
      <c r="K129" s="13">
        <f>IF(J129&lt;=0.005,0,ROUND(J129*Inputs!$B$8,2))</f>
        <v/>
      </c>
      <c r="L129" s="13">
        <f>IF(J129&lt;=0.005,0,MIN(Inputs!$B$7,J129+K129))</f>
        <v/>
      </c>
      <c r="M129" s="13">
        <f>L129-K129</f>
        <v/>
      </c>
      <c r="N129" s="13">
        <f>IF(J129&lt;=0.005,0,MIN(H129,J129-M129))</f>
        <v/>
      </c>
      <c r="O129" s="13">
        <f>ROUND(J129-M129-N129,2)</f>
        <v/>
      </c>
    </row>
    <row r="130">
      <c r="A130" s="11" t="n">
        <v>128</v>
      </c>
      <c r="B130" s="12">
        <f>EDATE(Inputs!$B$6,A130-1)</f>
        <v/>
      </c>
      <c r="C130" s="13">
        <f>G129</f>
        <v/>
      </c>
      <c r="D130" s="13">
        <f>IF(C130&lt;=0.005,0,ROUND(C130*Inputs!$B$8,2))</f>
        <v/>
      </c>
      <c r="E130" s="13">
        <f>IF(C130&lt;=0.005,0,MIN(Inputs!$B$7,C130+D130))</f>
        <v/>
      </c>
      <c r="F130" s="13">
        <f>E130-D130</f>
        <v/>
      </c>
      <c r="G130" s="13">
        <f>ROUND(C130-F130,2)</f>
        <v/>
      </c>
      <c r="H130" s="14" t="n">
        <v>0</v>
      </c>
      <c r="I130" s="11">
        <f>IF(H130=0,"",IF(A130&lt;2,"X not before month 2",IF(H130&lt;MAX(5000,Inputs!$B$7),"X below min",IF(H130&gt;MIN(5000000,0.75*J130),"X above max","OK"))))</f>
        <v/>
      </c>
      <c r="J130" s="13">
        <f>O129</f>
        <v/>
      </c>
      <c r="K130" s="13">
        <f>IF(J130&lt;=0.005,0,ROUND(J130*Inputs!$B$8,2))</f>
        <v/>
      </c>
      <c r="L130" s="13">
        <f>IF(J130&lt;=0.005,0,MIN(Inputs!$B$7,J130+K130))</f>
        <v/>
      </c>
      <c r="M130" s="13">
        <f>L130-K130</f>
        <v/>
      </c>
      <c r="N130" s="13">
        <f>IF(J130&lt;=0.005,0,MIN(H130,J130-M130))</f>
        <v/>
      </c>
      <c r="O130" s="13">
        <f>ROUND(J130-M130-N130,2)</f>
        <v/>
      </c>
    </row>
    <row r="131">
      <c r="A131" s="11" t="n">
        <v>129</v>
      </c>
      <c r="B131" s="12">
        <f>EDATE(Inputs!$B$6,A131-1)</f>
        <v/>
      </c>
      <c r="C131" s="13">
        <f>G130</f>
        <v/>
      </c>
      <c r="D131" s="13">
        <f>IF(C131&lt;=0.005,0,ROUND(C131*Inputs!$B$8,2))</f>
        <v/>
      </c>
      <c r="E131" s="13">
        <f>IF(C131&lt;=0.005,0,MIN(Inputs!$B$7,C131+D131))</f>
        <v/>
      </c>
      <c r="F131" s="13">
        <f>E131-D131</f>
        <v/>
      </c>
      <c r="G131" s="13">
        <f>ROUND(C131-F131,2)</f>
        <v/>
      </c>
      <c r="H131" s="14" t="n">
        <v>0</v>
      </c>
      <c r="I131" s="11">
        <f>IF(H131=0,"",IF(A131&lt;2,"X not before month 2",IF(H131&lt;MAX(5000,Inputs!$B$7),"X below min",IF(H131&gt;MIN(5000000,0.75*J131),"X above max","OK"))))</f>
        <v/>
      </c>
      <c r="J131" s="13">
        <f>O130</f>
        <v/>
      </c>
      <c r="K131" s="13">
        <f>IF(J131&lt;=0.005,0,ROUND(J131*Inputs!$B$8,2))</f>
        <v/>
      </c>
      <c r="L131" s="13">
        <f>IF(J131&lt;=0.005,0,MIN(Inputs!$B$7,J131+K131))</f>
        <v/>
      </c>
      <c r="M131" s="13">
        <f>L131-K131</f>
        <v/>
      </c>
      <c r="N131" s="13">
        <f>IF(J131&lt;=0.005,0,MIN(H131,J131-M131))</f>
        <v/>
      </c>
      <c r="O131" s="13">
        <f>ROUND(J131-M131-N131,2)</f>
        <v/>
      </c>
    </row>
    <row r="132">
      <c r="A132" s="11" t="n">
        <v>130</v>
      </c>
      <c r="B132" s="12">
        <f>EDATE(Inputs!$B$6,A132-1)</f>
        <v/>
      </c>
      <c r="C132" s="13">
        <f>G131</f>
        <v/>
      </c>
      <c r="D132" s="13">
        <f>IF(C132&lt;=0.005,0,ROUND(C132*Inputs!$B$8,2))</f>
        <v/>
      </c>
      <c r="E132" s="13">
        <f>IF(C132&lt;=0.005,0,MIN(Inputs!$B$7,C132+D132))</f>
        <v/>
      </c>
      <c r="F132" s="13">
        <f>E132-D132</f>
        <v/>
      </c>
      <c r="G132" s="13">
        <f>ROUND(C132-F132,2)</f>
        <v/>
      </c>
      <c r="H132" s="14" t="n">
        <v>0</v>
      </c>
      <c r="I132" s="11">
        <f>IF(H132=0,"",IF(A132&lt;2,"X not before month 2",IF(H132&lt;MAX(5000,Inputs!$B$7),"X below min",IF(H132&gt;MIN(5000000,0.75*J132),"X above max","OK"))))</f>
        <v/>
      </c>
      <c r="J132" s="13">
        <f>O131</f>
        <v/>
      </c>
      <c r="K132" s="13">
        <f>IF(J132&lt;=0.005,0,ROUND(J132*Inputs!$B$8,2))</f>
        <v/>
      </c>
      <c r="L132" s="13">
        <f>IF(J132&lt;=0.005,0,MIN(Inputs!$B$7,J132+K132))</f>
        <v/>
      </c>
      <c r="M132" s="13">
        <f>L132-K132</f>
        <v/>
      </c>
      <c r="N132" s="13">
        <f>IF(J132&lt;=0.005,0,MIN(H132,J132-M132))</f>
        <v/>
      </c>
      <c r="O132" s="13">
        <f>ROUND(J132-M132-N132,2)</f>
        <v/>
      </c>
    </row>
    <row r="133">
      <c r="A133" s="11" t="n">
        <v>131</v>
      </c>
      <c r="B133" s="12">
        <f>EDATE(Inputs!$B$6,A133-1)</f>
        <v/>
      </c>
      <c r="C133" s="13">
        <f>G132</f>
        <v/>
      </c>
      <c r="D133" s="13">
        <f>IF(C133&lt;=0.005,0,ROUND(C133*Inputs!$B$8,2))</f>
        <v/>
      </c>
      <c r="E133" s="13">
        <f>IF(C133&lt;=0.005,0,MIN(Inputs!$B$7,C133+D133))</f>
        <v/>
      </c>
      <c r="F133" s="13">
        <f>E133-D133</f>
        <v/>
      </c>
      <c r="G133" s="13">
        <f>ROUND(C133-F133,2)</f>
        <v/>
      </c>
      <c r="H133" s="14" t="n">
        <v>0</v>
      </c>
      <c r="I133" s="11">
        <f>IF(H133=0,"",IF(A133&lt;2,"X not before month 2",IF(H133&lt;MAX(5000,Inputs!$B$7),"X below min",IF(H133&gt;MIN(5000000,0.75*J133),"X above max","OK"))))</f>
        <v/>
      </c>
      <c r="J133" s="13">
        <f>O132</f>
        <v/>
      </c>
      <c r="K133" s="13">
        <f>IF(J133&lt;=0.005,0,ROUND(J133*Inputs!$B$8,2))</f>
        <v/>
      </c>
      <c r="L133" s="13">
        <f>IF(J133&lt;=0.005,0,MIN(Inputs!$B$7,J133+K133))</f>
        <v/>
      </c>
      <c r="M133" s="13">
        <f>L133-K133</f>
        <v/>
      </c>
      <c r="N133" s="13">
        <f>IF(J133&lt;=0.005,0,MIN(H133,J133-M133))</f>
        <v/>
      </c>
      <c r="O133" s="13">
        <f>ROUND(J133-M133-N133,2)</f>
        <v/>
      </c>
    </row>
    <row r="134">
      <c r="A134" s="11" t="n">
        <v>132</v>
      </c>
      <c r="B134" s="12">
        <f>EDATE(Inputs!$B$6,A134-1)</f>
        <v/>
      </c>
      <c r="C134" s="13">
        <f>G133</f>
        <v/>
      </c>
      <c r="D134" s="13">
        <f>IF(C134&lt;=0.005,0,ROUND(C134*Inputs!$B$8,2))</f>
        <v/>
      </c>
      <c r="E134" s="13">
        <f>IF(C134&lt;=0.005,0,MIN(Inputs!$B$7,C134+D134))</f>
        <v/>
      </c>
      <c r="F134" s="13">
        <f>E134-D134</f>
        <v/>
      </c>
      <c r="G134" s="13">
        <f>ROUND(C134-F134,2)</f>
        <v/>
      </c>
      <c r="H134" s="14" t="n">
        <v>0</v>
      </c>
      <c r="I134" s="11">
        <f>IF(H134=0,"",IF(A134&lt;2,"X not before month 2",IF(H134&lt;MAX(5000,Inputs!$B$7),"X below min",IF(H134&gt;MIN(5000000,0.75*J134),"X above max","OK"))))</f>
        <v/>
      </c>
      <c r="J134" s="13">
        <f>O133</f>
        <v/>
      </c>
      <c r="K134" s="13">
        <f>IF(J134&lt;=0.005,0,ROUND(J134*Inputs!$B$8,2))</f>
        <v/>
      </c>
      <c r="L134" s="13">
        <f>IF(J134&lt;=0.005,0,MIN(Inputs!$B$7,J134+K134))</f>
        <v/>
      </c>
      <c r="M134" s="13">
        <f>L134-K134</f>
        <v/>
      </c>
      <c r="N134" s="13">
        <f>IF(J134&lt;=0.005,0,MIN(H134,J134-M134))</f>
        <v/>
      </c>
      <c r="O134" s="13">
        <f>ROUND(J134-M134-N134,2)</f>
        <v/>
      </c>
    </row>
    <row r="135">
      <c r="A135" s="11" t="n">
        <v>133</v>
      </c>
      <c r="B135" s="12">
        <f>EDATE(Inputs!$B$6,A135-1)</f>
        <v/>
      </c>
      <c r="C135" s="13">
        <f>G134</f>
        <v/>
      </c>
      <c r="D135" s="13">
        <f>IF(C135&lt;=0.005,0,ROUND(C135*Inputs!$B$8,2))</f>
        <v/>
      </c>
      <c r="E135" s="13">
        <f>IF(C135&lt;=0.005,0,MIN(Inputs!$B$7,C135+D135))</f>
        <v/>
      </c>
      <c r="F135" s="13">
        <f>E135-D135</f>
        <v/>
      </c>
      <c r="G135" s="13">
        <f>ROUND(C135-F135,2)</f>
        <v/>
      </c>
      <c r="H135" s="14" t="n">
        <v>0</v>
      </c>
      <c r="I135" s="11">
        <f>IF(H135=0,"",IF(A135&lt;2,"X not before month 2",IF(H135&lt;MAX(5000,Inputs!$B$7),"X below min",IF(H135&gt;MIN(5000000,0.75*J135),"X above max","OK"))))</f>
        <v/>
      </c>
      <c r="J135" s="13">
        <f>O134</f>
        <v/>
      </c>
      <c r="K135" s="13">
        <f>IF(J135&lt;=0.005,0,ROUND(J135*Inputs!$B$8,2))</f>
        <v/>
      </c>
      <c r="L135" s="13">
        <f>IF(J135&lt;=0.005,0,MIN(Inputs!$B$7,J135+K135))</f>
        <v/>
      </c>
      <c r="M135" s="13">
        <f>L135-K135</f>
        <v/>
      </c>
      <c r="N135" s="13">
        <f>IF(J135&lt;=0.005,0,MIN(H135,J135-M135))</f>
        <v/>
      </c>
      <c r="O135" s="13">
        <f>ROUND(J135-M135-N135,2)</f>
        <v/>
      </c>
    </row>
    <row r="136">
      <c r="A136" s="11" t="n">
        <v>134</v>
      </c>
      <c r="B136" s="12">
        <f>EDATE(Inputs!$B$6,A136-1)</f>
        <v/>
      </c>
      <c r="C136" s="13">
        <f>G135</f>
        <v/>
      </c>
      <c r="D136" s="13">
        <f>IF(C136&lt;=0.005,0,ROUND(C136*Inputs!$B$8,2))</f>
        <v/>
      </c>
      <c r="E136" s="13">
        <f>IF(C136&lt;=0.005,0,MIN(Inputs!$B$7,C136+D136))</f>
        <v/>
      </c>
      <c r="F136" s="13">
        <f>E136-D136</f>
        <v/>
      </c>
      <c r="G136" s="13">
        <f>ROUND(C136-F136,2)</f>
        <v/>
      </c>
      <c r="H136" s="14" t="n">
        <v>0</v>
      </c>
      <c r="I136" s="11">
        <f>IF(H136=0,"",IF(A136&lt;2,"X not before month 2",IF(H136&lt;MAX(5000,Inputs!$B$7),"X below min",IF(H136&gt;MIN(5000000,0.75*J136),"X above max","OK"))))</f>
        <v/>
      </c>
      <c r="J136" s="13">
        <f>O135</f>
        <v/>
      </c>
      <c r="K136" s="13">
        <f>IF(J136&lt;=0.005,0,ROUND(J136*Inputs!$B$8,2))</f>
        <v/>
      </c>
      <c r="L136" s="13">
        <f>IF(J136&lt;=0.005,0,MIN(Inputs!$B$7,J136+K136))</f>
        <v/>
      </c>
      <c r="M136" s="13">
        <f>L136-K136</f>
        <v/>
      </c>
      <c r="N136" s="13">
        <f>IF(J136&lt;=0.005,0,MIN(H136,J136-M136))</f>
        <v/>
      </c>
      <c r="O136" s="13">
        <f>ROUND(J136-M136-N136,2)</f>
        <v/>
      </c>
    </row>
    <row r="137">
      <c r="A137" s="11" t="n">
        <v>135</v>
      </c>
      <c r="B137" s="12">
        <f>EDATE(Inputs!$B$6,A137-1)</f>
        <v/>
      </c>
      <c r="C137" s="13">
        <f>G136</f>
        <v/>
      </c>
      <c r="D137" s="13">
        <f>IF(C137&lt;=0.005,0,ROUND(C137*Inputs!$B$8,2))</f>
        <v/>
      </c>
      <c r="E137" s="13">
        <f>IF(C137&lt;=0.005,0,MIN(Inputs!$B$7,C137+D137))</f>
        <v/>
      </c>
      <c r="F137" s="13">
        <f>E137-D137</f>
        <v/>
      </c>
      <c r="G137" s="13">
        <f>ROUND(C137-F137,2)</f>
        <v/>
      </c>
      <c r="H137" s="14" t="n">
        <v>0</v>
      </c>
      <c r="I137" s="11">
        <f>IF(H137=0,"",IF(A137&lt;2,"X not before month 2",IF(H137&lt;MAX(5000,Inputs!$B$7),"X below min",IF(H137&gt;MIN(5000000,0.75*J137),"X above max","OK"))))</f>
        <v/>
      </c>
      <c r="J137" s="13">
        <f>O136</f>
        <v/>
      </c>
      <c r="K137" s="13">
        <f>IF(J137&lt;=0.005,0,ROUND(J137*Inputs!$B$8,2))</f>
        <v/>
      </c>
      <c r="L137" s="13">
        <f>IF(J137&lt;=0.005,0,MIN(Inputs!$B$7,J137+K137))</f>
        <v/>
      </c>
      <c r="M137" s="13">
        <f>L137-K137</f>
        <v/>
      </c>
      <c r="N137" s="13">
        <f>IF(J137&lt;=0.005,0,MIN(H137,J137-M137))</f>
        <v/>
      </c>
      <c r="O137" s="13">
        <f>ROUND(J137-M137-N137,2)</f>
        <v/>
      </c>
    </row>
    <row r="138">
      <c r="A138" s="11" t="n">
        <v>136</v>
      </c>
      <c r="B138" s="12">
        <f>EDATE(Inputs!$B$6,A138-1)</f>
        <v/>
      </c>
      <c r="C138" s="13">
        <f>G137</f>
        <v/>
      </c>
      <c r="D138" s="13">
        <f>IF(C138&lt;=0.005,0,ROUND(C138*Inputs!$B$8,2))</f>
        <v/>
      </c>
      <c r="E138" s="13">
        <f>IF(C138&lt;=0.005,0,MIN(Inputs!$B$7,C138+D138))</f>
        <v/>
      </c>
      <c r="F138" s="13">
        <f>E138-D138</f>
        <v/>
      </c>
      <c r="G138" s="13">
        <f>ROUND(C138-F138,2)</f>
        <v/>
      </c>
      <c r="H138" s="14" t="n">
        <v>0</v>
      </c>
      <c r="I138" s="11">
        <f>IF(H138=0,"",IF(A138&lt;2,"X not before month 2",IF(H138&lt;MAX(5000,Inputs!$B$7),"X below min",IF(H138&gt;MIN(5000000,0.75*J138),"X above max","OK"))))</f>
        <v/>
      </c>
      <c r="J138" s="13">
        <f>O137</f>
        <v/>
      </c>
      <c r="K138" s="13">
        <f>IF(J138&lt;=0.005,0,ROUND(J138*Inputs!$B$8,2))</f>
        <v/>
      </c>
      <c r="L138" s="13">
        <f>IF(J138&lt;=0.005,0,MIN(Inputs!$B$7,J138+K138))</f>
        <v/>
      </c>
      <c r="M138" s="13">
        <f>L138-K138</f>
        <v/>
      </c>
      <c r="N138" s="13">
        <f>IF(J138&lt;=0.005,0,MIN(H138,J138-M138))</f>
        <v/>
      </c>
      <c r="O138" s="13">
        <f>ROUND(J138-M138-N138,2)</f>
        <v/>
      </c>
    </row>
    <row r="139">
      <c r="A139" s="11" t="n">
        <v>137</v>
      </c>
      <c r="B139" s="12">
        <f>EDATE(Inputs!$B$6,A139-1)</f>
        <v/>
      </c>
      <c r="C139" s="13">
        <f>G138</f>
        <v/>
      </c>
      <c r="D139" s="13">
        <f>IF(C139&lt;=0.005,0,ROUND(C139*Inputs!$B$8,2))</f>
        <v/>
      </c>
      <c r="E139" s="13">
        <f>IF(C139&lt;=0.005,0,MIN(Inputs!$B$7,C139+D139))</f>
        <v/>
      </c>
      <c r="F139" s="13">
        <f>E139-D139</f>
        <v/>
      </c>
      <c r="G139" s="13">
        <f>ROUND(C139-F139,2)</f>
        <v/>
      </c>
      <c r="H139" s="14" t="n">
        <v>0</v>
      </c>
      <c r="I139" s="11">
        <f>IF(H139=0,"",IF(A139&lt;2,"X not before month 2",IF(H139&lt;MAX(5000,Inputs!$B$7),"X below min",IF(H139&gt;MIN(5000000,0.75*J139),"X above max","OK"))))</f>
        <v/>
      </c>
      <c r="J139" s="13">
        <f>O138</f>
        <v/>
      </c>
      <c r="K139" s="13">
        <f>IF(J139&lt;=0.005,0,ROUND(J139*Inputs!$B$8,2))</f>
        <v/>
      </c>
      <c r="L139" s="13">
        <f>IF(J139&lt;=0.005,0,MIN(Inputs!$B$7,J139+K139))</f>
        <v/>
      </c>
      <c r="M139" s="13">
        <f>L139-K139</f>
        <v/>
      </c>
      <c r="N139" s="13">
        <f>IF(J139&lt;=0.005,0,MIN(H139,J139-M139))</f>
        <v/>
      </c>
      <c r="O139" s="13">
        <f>ROUND(J139-M139-N139,2)</f>
        <v/>
      </c>
    </row>
    <row r="140">
      <c r="A140" s="11" t="n">
        <v>138</v>
      </c>
      <c r="B140" s="12">
        <f>EDATE(Inputs!$B$6,A140-1)</f>
        <v/>
      </c>
      <c r="C140" s="13">
        <f>G139</f>
        <v/>
      </c>
      <c r="D140" s="13">
        <f>IF(C140&lt;=0.005,0,ROUND(C140*Inputs!$B$8,2))</f>
        <v/>
      </c>
      <c r="E140" s="13">
        <f>IF(C140&lt;=0.005,0,MIN(Inputs!$B$7,C140+D140))</f>
        <v/>
      </c>
      <c r="F140" s="13">
        <f>E140-D140</f>
        <v/>
      </c>
      <c r="G140" s="13">
        <f>ROUND(C140-F140,2)</f>
        <v/>
      </c>
      <c r="H140" s="14" t="n">
        <v>0</v>
      </c>
      <c r="I140" s="11">
        <f>IF(H140=0,"",IF(A140&lt;2,"X not before month 2",IF(H140&lt;MAX(5000,Inputs!$B$7),"X below min",IF(H140&gt;MIN(5000000,0.75*J140),"X above max","OK"))))</f>
        <v/>
      </c>
      <c r="J140" s="13">
        <f>O139</f>
        <v/>
      </c>
      <c r="K140" s="13">
        <f>IF(J140&lt;=0.005,0,ROUND(J140*Inputs!$B$8,2))</f>
        <v/>
      </c>
      <c r="L140" s="13">
        <f>IF(J140&lt;=0.005,0,MIN(Inputs!$B$7,J140+K140))</f>
        <v/>
      </c>
      <c r="M140" s="13">
        <f>L140-K140</f>
        <v/>
      </c>
      <c r="N140" s="13">
        <f>IF(J140&lt;=0.005,0,MIN(H140,J140-M140))</f>
        <v/>
      </c>
      <c r="O140" s="13">
        <f>ROUND(J140-M140-N140,2)</f>
        <v/>
      </c>
    </row>
    <row r="141">
      <c r="A141" s="11" t="n">
        <v>139</v>
      </c>
      <c r="B141" s="12">
        <f>EDATE(Inputs!$B$6,A141-1)</f>
        <v/>
      </c>
      <c r="C141" s="13">
        <f>G140</f>
        <v/>
      </c>
      <c r="D141" s="13">
        <f>IF(C141&lt;=0.005,0,ROUND(C141*Inputs!$B$8,2))</f>
        <v/>
      </c>
      <c r="E141" s="13">
        <f>IF(C141&lt;=0.005,0,MIN(Inputs!$B$7,C141+D141))</f>
        <v/>
      </c>
      <c r="F141" s="13">
        <f>E141-D141</f>
        <v/>
      </c>
      <c r="G141" s="13">
        <f>ROUND(C141-F141,2)</f>
        <v/>
      </c>
      <c r="H141" s="14" t="n">
        <v>0</v>
      </c>
      <c r="I141" s="11">
        <f>IF(H141=0,"",IF(A141&lt;2,"X not before month 2",IF(H141&lt;MAX(5000,Inputs!$B$7),"X below min",IF(H141&gt;MIN(5000000,0.75*J141),"X above max","OK"))))</f>
        <v/>
      </c>
      <c r="J141" s="13">
        <f>O140</f>
        <v/>
      </c>
      <c r="K141" s="13">
        <f>IF(J141&lt;=0.005,0,ROUND(J141*Inputs!$B$8,2))</f>
        <v/>
      </c>
      <c r="L141" s="13">
        <f>IF(J141&lt;=0.005,0,MIN(Inputs!$B$7,J141+K141))</f>
        <v/>
      </c>
      <c r="M141" s="13">
        <f>L141-K141</f>
        <v/>
      </c>
      <c r="N141" s="13">
        <f>IF(J141&lt;=0.005,0,MIN(H141,J141-M141))</f>
        <v/>
      </c>
      <c r="O141" s="13">
        <f>ROUND(J141-M141-N141,2)</f>
        <v/>
      </c>
    </row>
    <row r="142">
      <c r="A142" s="11" t="n">
        <v>140</v>
      </c>
      <c r="B142" s="12">
        <f>EDATE(Inputs!$B$6,A142-1)</f>
        <v/>
      </c>
      <c r="C142" s="13">
        <f>G141</f>
        <v/>
      </c>
      <c r="D142" s="13">
        <f>IF(C142&lt;=0.005,0,ROUND(C142*Inputs!$B$8,2))</f>
        <v/>
      </c>
      <c r="E142" s="13">
        <f>IF(C142&lt;=0.005,0,MIN(Inputs!$B$7,C142+D142))</f>
        <v/>
      </c>
      <c r="F142" s="13">
        <f>E142-D142</f>
        <v/>
      </c>
      <c r="G142" s="13">
        <f>ROUND(C142-F142,2)</f>
        <v/>
      </c>
      <c r="H142" s="14" t="n">
        <v>0</v>
      </c>
      <c r="I142" s="11">
        <f>IF(H142=0,"",IF(A142&lt;2,"X not before month 2",IF(H142&lt;MAX(5000,Inputs!$B$7),"X below min",IF(H142&gt;MIN(5000000,0.75*J142),"X above max","OK"))))</f>
        <v/>
      </c>
      <c r="J142" s="13">
        <f>O141</f>
        <v/>
      </c>
      <c r="K142" s="13">
        <f>IF(J142&lt;=0.005,0,ROUND(J142*Inputs!$B$8,2))</f>
        <v/>
      </c>
      <c r="L142" s="13">
        <f>IF(J142&lt;=0.005,0,MIN(Inputs!$B$7,J142+K142))</f>
        <v/>
      </c>
      <c r="M142" s="13">
        <f>L142-K142</f>
        <v/>
      </c>
      <c r="N142" s="13">
        <f>IF(J142&lt;=0.005,0,MIN(H142,J142-M142))</f>
        <v/>
      </c>
      <c r="O142" s="13">
        <f>ROUND(J142-M142-N142,2)</f>
        <v/>
      </c>
    </row>
    <row r="143">
      <c r="A143" s="11" t="n">
        <v>141</v>
      </c>
      <c r="B143" s="12">
        <f>EDATE(Inputs!$B$6,A143-1)</f>
        <v/>
      </c>
      <c r="C143" s="13">
        <f>G142</f>
        <v/>
      </c>
      <c r="D143" s="13">
        <f>IF(C143&lt;=0.005,0,ROUND(C143*Inputs!$B$8,2))</f>
        <v/>
      </c>
      <c r="E143" s="13">
        <f>IF(C143&lt;=0.005,0,MIN(Inputs!$B$7,C143+D143))</f>
        <v/>
      </c>
      <c r="F143" s="13">
        <f>E143-D143</f>
        <v/>
      </c>
      <c r="G143" s="13">
        <f>ROUND(C143-F143,2)</f>
        <v/>
      </c>
      <c r="H143" s="14" t="n">
        <v>0</v>
      </c>
      <c r="I143" s="11">
        <f>IF(H143=0,"",IF(A143&lt;2,"X not before month 2",IF(H143&lt;MAX(5000,Inputs!$B$7),"X below min",IF(H143&gt;MIN(5000000,0.75*J143),"X above max","OK"))))</f>
        <v/>
      </c>
      <c r="J143" s="13">
        <f>O142</f>
        <v/>
      </c>
      <c r="K143" s="13">
        <f>IF(J143&lt;=0.005,0,ROUND(J143*Inputs!$B$8,2))</f>
        <v/>
      </c>
      <c r="L143" s="13">
        <f>IF(J143&lt;=0.005,0,MIN(Inputs!$B$7,J143+K143))</f>
        <v/>
      </c>
      <c r="M143" s="13">
        <f>L143-K143</f>
        <v/>
      </c>
      <c r="N143" s="13">
        <f>IF(J143&lt;=0.005,0,MIN(H143,J143-M143))</f>
        <v/>
      </c>
      <c r="O143" s="13">
        <f>ROUND(J143-M143-N143,2)</f>
        <v/>
      </c>
    </row>
    <row r="144">
      <c r="A144" s="11" t="n">
        <v>142</v>
      </c>
      <c r="B144" s="12">
        <f>EDATE(Inputs!$B$6,A144-1)</f>
        <v/>
      </c>
      <c r="C144" s="13">
        <f>G143</f>
        <v/>
      </c>
      <c r="D144" s="13">
        <f>IF(C144&lt;=0.005,0,ROUND(C144*Inputs!$B$8,2))</f>
        <v/>
      </c>
      <c r="E144" s="13">
        <f>IF(C144&lt;=0.005,0,MIN(Inputs!$B$7,C144+D144))</f>
        <v/>
      </c>
      <c r="F144" s="13">
        <f>E144-D144</f>
        <v/>
      </c>
      <c r="G144" s="13">
        <f>ROUND(C144-F144,2)</f>
        <v/>
      </c>
      <c r="H144" s="14" t="n">
        <v>0</v>
      </c>
      <c r="I144" s="11">
        <f>IF(H144=0,"",IF(A144&lt;2,"X not before month 2",IF(H144&lt;MAX(5000,Inputs!$B$7),"X below min",IF(H144&gt;MIN(5000000,0.75*J144),"X above max","OK"))))</f>
        <v/>
      </c>
      <c r="J144" s="13">
        <f>O143</f>
        <v/>
      </c>
      <c r="K144" s="13">
        <f>IF(J144&lt;=0.005,0,ROUND(J144*Inputs!$B$8,2))</f>
        <v/>
      </c>
      <c r="L144" s="13">
        <f>IF(J144&lt;=0.005,0,MIN(Inputs!$B$7,J144+K144))</f>
        <v/>
      </c>
      <c r="M144" s="13">
        <f>L144-K144</f>
        <v/>
      </c>
      <c r="N144" s="13">
        <f>IF(J144&lt;=0.005,0,MIN(H144,J144-M144))</f>
        <v/>
      </c>
      <c r="O144" s="13">
        <f>ROUND(J144-M144-N144,2)</f>
        <v/>
      </c>
    </row>
    <row r="145">
      <c r="A145" s="11" t="n">
        <v>143</v>
      </c>
      <c r="B145" s="12">
        <f>EDATE(Inputs!$B$6,A145-1)</f>
        <v/>
      </c>
      <c r="C145" s="13">
        <f>G144</f>
        <v/>
      </c>
      <c r="D145" s="13">
        <f>IF(C145&lt;=0.005,0,ROUND(C145*Inputs!$B$8,2))</f>
        <v/>
      </c>
      <c r="E145" s="13">
        <f>IF(C145&lt;=0.005,0,MIN(Inputs!$B$7,C145+D145))</f>
        <v/>
      </c>
      <c r="F145" s="13">
        <f>E145-D145</f>
        <v/>
      </c>
      <c r="G145" s="13">
        <f>ROUND(C145-F145,2)</f>
        <v/>
      </c>
      <c r="H145" s="14" t="n">
        <v>0</v>
      </c>
      <c r="I145" s="11">
        <f>IF(H145=0,"",IF(A145&lt;2,"X not before month 2",IF(H145&lt;MAX(5000,Inputs!$B$7),"X below min",IF(H145&gt;MIN(5000000,0.75*J145),"X above max","OK"))))</f>
        <v/>
      </c>
      <c r="J145" s="13">
        <f>O144</f>
        <v/>
      </c>
      <c r="K145" s="13">
        <f>IF(J145&lt;=0.005,0,ROUND(J145*Inputs!$B$8,2))</f>
        <v/>
      </c>
      <c r="L145" s="13">
        <f>IF(J145&lt;=0.005,0,MIN(Inputs!$B$7,J145+K145))</f>
        <v/>
      </c>
      <c r="M145" s="13">
        <f>L145-K145</f>
        <v/>
      </c>
      <c r="N145" s="13">
        <f>IF(J145&lt;=0.005,0,MIN(H145,J145-M145))</f>
        <v/>
      </c>
      <c r="O145" s="13">
        <f>ROUND(J145-M145-N145,2)</f>
        <v/>
      </c>
    </row>
    <row r="146">
      <c r="A146" s="11" t="n">
        <v>144</v>
      </c>
      <c r="B146" s="12">
        <f>EDATE(Inputs!$B$6,A146-1)</f>
        <v/>
      </c>
      <c r="C146" s="13">
        <f>G145</f>
        <v/>
      </c>
      <c r="D146" s="13">
        <f>IF(C146&lt;=0.005,0,ROUND(C146*Inputs!$B$8,2))</f>
        <v/>
      </c>
      <c r="E146" s="13">
        <f>IF(C146&lt;=0.005,0,MIN(Inputs!$B$7,C146+D146))</f>
        <v/>
      </c>
      <c r="F146" s="13">
        <f>E146-D146</f>
        <v/>
      </c>
      <c r="G146" s="13">
        <f>ROUND(C146-F146,2)</f>
        <v/>
      </c>
      <c r="H146" s="14" t="n">
        <v>0</v>
      </c>
      <c r="I146" s="11">
        <f>IF(H146=0,"",IF(A146&lt;2,"X not before month 2",IF(H146&lt;MAX(5000,Inputs!$B$7),"X below min",IF(H146&gt;MIN(5000000,0.75*J146),"X above max","OK"))))</f>
        <v/>
      </c>
      <c r="J146" s="13">
        <f>O145</f>
        <v/>
      </c>
      <c r="K146" s="13">
        <f>IF(J146&lt;=0.005,0,ROUND(J146*Inputs!$B$8,2))</f>
        <v/>
      </c>
      <c r="L146" s="13">
        <f>IF(J146&lt;=0.005,0,MIN(Inputs!$B$7,J146+K146))</f>
        <v/>
      </c>
      <c r="M146" s="13">
        <f>L146-K146</f>
        <v/>
      </c>
      <c r="N146" s="13">
        <f>IF(J146&lt;=0.005,0,MIN(H146,J146-M146))</f>
        <v/>
      </c>
      <c r="O146" s="13">
        <f>ROUND(J146-M146-N146,2)</f>
        <v/>
      </c>
    </row>
    <row r="147">
      <c r="A147" s="11" t="n">
        <v>145</v>
      </c>
      <c r="B147" s="12">
        <f>EDATE(Inputs!$B$6,A147-1)</f>
        <v/>
      </c>
      <c r="C147" s="13">
        <f>G146</f>
        <v/>
      </c>
      <c r="D147" s="13">
        <f>IF(C147&lt;=0.005,0,ROUND(C147*Inputs!$B$8,2))</f>
        <v/>
      </c>
      <c r="E147" s="13">
        <f>IF(C147&lt;=0.005,0,MIN(Inputs!$B$7,C147+D147))</f>
        <v/>
      </c>
      <c r="F147" s="13">
        <f>E147-D147</f>
        <v/>
      </c>
      <c r="G147" s="13">
        <f>ROUND(C147-F147,2)</f>
        <v/>
      </c>
      <c r="H147" s="14" t="n">
        <v>0</v>
      </c>
      <c r="I147" s="11">
        <f>IF(H147=0,"",IF(A147&lt;2,"X not before month 2",IF(H147&lt;MAX(5000,Inputs!$B$7),"X below min",IF(H147&gt;MIN(5000000,0.75*J147),"X above max","OK"))))</f>
        <v/>
      </c>
      <c r="J147" s="13">
        <f>O146</f>
        <v/>
      </c>
      <c r="K147" s="13">
        <f>IF(J147&lt;=0.005,0,ROUND(J147*Inputs!$B$8,2))</f>
        <v/>
      </c>
      <c r="L147" s="13">
        <f>IF(J147&lt;=0.005,0,MIN(Inputs!$B$7,J147+K147))</f>
        <v/>
      </c>
      <c r="M147" s="13">
        <f>L147-K147</f>
        <v/>
      </c>
      <c r="N147" s="13">
        <f>IF(J147&lt;=0.005,0,MIN(H147,J147-M147))</f>
        <v/>
      </c>
      <c r="O147" s="13">
        <f>ROUND(J147-M147-N147,2)</f>
        <v/>
      </c>
    </row>
    <row r="148">
      <c r="A148" s="11" t="n">
        <v>146</v>
      </c>
      <c r="B148" s="12">
        <f>EDATE(Inputs!$B$6,A148-1)</f>
        <v/>
      </c>
      <c r="C148" s="13">
        <f>G147</f>
        <v/>
      </c>
      <c r="D148" s="13">
        <f>IF(C148&lt;=0.005,0,ROUND(C148*Inputs!$B$8,2))</f>
        <v/>
      </c>
      <c r="E148" s="13">
        <f>IF(C148&lt;=0.005,0,MIN(Inputs!$B$7,C148+D148))</f>
        <v/>
      </c>
      <c r="F148" s="13">
        <f>E148-D148</f>
        <v/>
      </c>
      <c r="G148" s="13">
        <f>ROUND(C148-F148,2)</f>
        <v/>
      </c>
      <c r="H148" s="14" t="n">
        <v>0</v>
      </c>
      <c r="I148" s="11">
        <f>IF(H148=0,"",IF(A148&lt;2,"X not before month 2",IF(H148&lt;MAX(5000,Inputs!$B$7),"X below min",IF(H148&gt;MIN(5000000,0.75*J148),"X above max","OK"))))</f>
        <v/>
      </c>
      <c r="J148" s="13">
        <f>O147</f>
        <v/>
      </c>
      <c r="K148" s="13">
        <f>IF(J148&lt;=0.005,0,ROUND(J148*Inputs!$B$8,2))</f>
        <v/>
      </c>
      <c r="L148" s="13">
        <f>IF(J148&lt;=0.005,0,MIN(Inputs!$B$7,J148+K148))</f>
        <v/>
      </c>
      <c r="M148" s="13">
        <f>L148-K148</f>
        <v/>
      </c>
      <c r="N148" s="13">
        <f>IF(J148&lt;=0.005,0,MIN(H148,J148-M148))</f>
        <v/>
      </c>
      <c r="O148" s="13">
        <f>ROUND(J148-M148-N148,2)</f>
        <v/>
      </c>
    </row>
    <row r="149">
      <c r="A149" s="11" t="n">
        <v>147</v>
      </c>
      <c r="B149" s="12">
        <f>EDATE(Inputs!$B$6,A149-1)</f>
        <v/>
      </c>
      <c r="C149" s="13">
        <f>G148</f>
        <v/>
      </c>
      <c r="D149" s="13">
        <f>IF(C149&lt;=0.005,0,ROUND(C149*Inputs!$B$8,2))</f>
        <v/>
      </c>
      <c r="E149" s="13">
        <f>IF(C149&lt;=0.005,0,MIN(Inputs!$B$7,C149+D149))</f>
        <v/>
      </c>
      <c r="F149" s="13">
        <f>E149-D149</f>
        <v/>
      </c>
      <c r="G149" s="13">
        <f>ROUND(C149-F149,2)</f>
        <v/>
      </c>
      <c r="H149" s="14" t="n">
        <v>0</v>
      </c>
      <c r="I149" s="11">
        <f>IF(H149=0,"",IF(A149&lt;2,"X not before month 2",IF(H149&lt;MAX(5000,Inputs!$B$7),"X below min",IF(H149&gt;MIN(5000000,0.75*J149),"X above max","OK"))))</f>
        <v/>
      </c>
      <c r="J149" s="13">
        <f>O148</f>
        <v/>
      </c>
      <c r="K149" s="13">
        <f>IF(J149&lt;=0.005,0,ROUND(J149*Inputs!$B$8,2))</f>
        <v/>
      </c>
      <c r="L149" s="13">
        <f>IF(J149&lt;=0.005,0,MIN(Inputs!$B$7,J149+K149))</f>
        <v/>
      </c>
      <c r="M149" s="13">
        <f>L149-K149</f>
        <v/>
      </c>
      <c r="N149" s="13">
        <f>IF(J149&lt;=0.005,0,MIN(H149,J149-M149))</f>
        <v/>
      </c>
      <c r="O149" s="13">
        <f>ROUND(J149-M149-N149,2)</f>
        <v/>
      </c>
    </row>
    <row r="150">
      <c r="A150" s="11" t="n">
        <v>148</v>
      </c>
      <c r="B150" s="12">
        <f>EDATE(Inputs!$B$6,A150-1)</f>
        <v/>
      </c>
      <c r="C150" s="13">
        <f>G149</f>
        <v/>
      </c>
      <c r="D150" s="13">
        <f>IF(C150&lt;=0.005,0,ROUND(C150*Inputs!$B$8,2))</f>
        <v/>
      </c>
      <c r="E150" s="13">
        <f>IF(C150&lt;=0.005,0,MIN(Inputs!$B$7,C150+D150))</f>
        <v/>
      </c>
      <c r="F150" s="13">
        <f>E150-D150</f>
        <v/>
      </c>
      <c r="G150" s="13">
        <f>ROUND(C150-F150,2)</f>
        <v/>
      </c>
      <c r="H150" s="14" t="n">
        <v>0</v>
      </c>
      <c r="I150" s="11">
        <f>IF(H150=0,"",IF(A150&lt;2,"X not before month 2",IF(H150&lt;MAX(5000,Inputs!$B$7),"X below min",IF(H150&gt;MIN(5000000,0.75*J150),"X above max","OK"))))</f>
        <v/>
      </c>
      <c r="J150" s="13">
        <f>O149</f>
        <v/>
      </c>
      <c r="K150" s="13">
        <f>IF(J150&lt;=0.005,0,ROUND(J150*Inputs!$B$8,2))</f>
        <v/>
      </c>
      <c r="L150" s="13">
        <f>IF(J150&lt;=0.005,0,MIN(Inputs!$B$7,J150+K150))</f>
        <v/>
      </c>
      <c r="M150" s="13">
        <f>L150-K150</f>
        <v/>
      </c>
      <c r="N150" s="13">
        <f>IF(J150&lt;=0.005,0,MIN(H150,J150-M150))</f>
        <v/>
      </c>
      <c r="O150" s="13">
        <f>ROUND(J150-M150-N150,2)</f>
        <v/>
      </c>
    </row>
    <row r="151">
      <c r="A151" s="11" t="n">
        <v>149</v>
      </c>
      <c r="B151" s="12">
        <f>EDATE(Inputs!$B$6,A151-1)</f>
        <v/>
      </c>
      <c r="C151" s="13">
        <f>G150</f>
        <v/>
      </c>
      <c r="D151" s="13">
        <f>IF(C151&lt;=0.005,0,ROUND(C151*Inputs!$B$8,2))</f>
        <v/>
      </c>
      <c r="E151" s="13">
        <f>IF(C151&lt;=0.005,0,MIN(Inputs!$B$7,C151+D151))</f>
        <v/>
      </c>
      <c r="F151" s="13">
        <f>E151-D151</f>
        <v/>
      </c>
      <c r="G151" s="13">
        <f>ROUND(C151-F151,2)</f>
        <v/>
      </c>
      <c r="H151" s="14" t="n">
        <v>0</v>
      </c>
      <c r="I151" s="11">
        <f>IF(H151=0,"",IF(A151&lt;2,"X not before month 2",IF(H151&lt;MAX(5000,Inputs!$B$7),"X below min",IF(H151&gt;MIN(5000000,0.75*J151),"X above max","OK"))))</f>
        <v/>
      </c>
      <c r="J151" s="13">
        <f>O150</f>
        <v/>
      </c>
      <c r="K151" s="13">
        <f>IF(J151&lt;=0.005,0,ROUND(J151*Inputs!$B$8,2))</f>
        <v/>
      </c>
      <c r="L151" s="13">
        <f>IF(J151&lt;=0.005,0,MIN(Inputs!$B$7,J151+K151))</f>
        <v/>
      </c>
      <c r="M151" s="13">
        <f>L151-K151</f>
        <v/>
      </c>
      <c r="N151" s="13">
        <f>IF(J151&lt;=0.005,0,MIN(H151,J151-M151))</f>
        <v/>
      </c>
      <c r="O151" s="13">
        <f>ROUND(J151-M151-N151,2)</f>
        <v/>
      </c>
    </row>
    <row r="152">
      <c r="A152" s="11" t="n">
        <v>150</v>
      </c>
      <c r="B152" s="12">
        <f>EDATE(Inputs!$B$6,A152-1)</f>
        <v/>
      </c>
      <c r="C152" s="13">
        <f>G151</f>
        <v/>
      </c>
      <c r="D152" s="13">
        <f>IF(C152&lt;=0.005,0,ROUND(C152*Inputs!$B$8,2))</f>
        <v/>
      </c>
      <c r="E152" s="13">
        <f>IF(C152&lt;=0.005,0,MIN(Inputs!$B$7,C152+D152))</f>
        <v/>
      </c>
      <c r="F152" s="13">
        <f>E152-D152</f>
        <v/>
      </c>
      <c r="G152" s="13">
        <f>ROUND(C152-F152,2)</f>
        <v/>
      </c>
      <c r="H152" s="14" t="n">
        <v>0</v>
      </c>
      <c r="I152" s="11">
        <f>IF(H152=0,"",IF(A152&lt;2,"X not before month 2",IF(H152&lt;MAX(5000,Inputs!$B$7),"X below min",IF(H152&gt;MIN(5000000,0.75*J152),"X above max","OK"))))</f>
        <v/>
      </c>
      <c r="J152" s="13">
        <f>O151</f>
        <v/>
      </c>
      <c r="K152" s="13">
        <f>IF(J152&lt;=0.005,0,ROUND(J152*Inputs!$B$8,2))</f>
        <v/>
      </c>
      <c r="L152" s="13">
        <f>IF(J152&lt;=0.005,0,MIN(Inputs!$B$7,J152+K152))</f>
        <v/>
      </c>
      <c r="M152" s="13">
        <f>L152-K152</f>
        <v/>
      </c>
      <c r="N152" s="13">
        <f>IF(J152&lt;=0.005,0,MIN(H152,J152-M152))</f>
        <v/>
      </c>
      <c r="O152" s="13">
        <f>ROUND(J152-M152-N152,2)</f>
        <v/>
      </c>
    </row>
    <row r="153">
      <c r="A153" s="11" t="n">
        <v>151</v>
      </c>
      <c r="B153" s="12">
        <f>EDATE(Inputs!$B$6,A153-1)</f>
        <v/>
      </c>
      <c r="C153" s="13">
        <f>G152</f>
        <v/>
      </c>
      <c r="D153" s="13">
        <f>IF(C153&lt;=0.005,0,ROUND(C153*Inputs!$B$8,2))</f>
        <v/>
      </c>
      <c r="E153" s="13">
        <f>IF(C153&lt;=0.005,0,MIN(Inputs!$B$7,C153+D153))</f>
        <v/>
      </c>
      <c r="F153" s="13">
        <f>E153-D153</f>
        <v/>
      </c>
      <c r="G153" s="13">
        <f>ROUND(C153-F153,2)</f>
        <v/>
      </c>
      <c r="H153" s="14" t="n">
        <v>0</v>
      </c>
      <c r="I153" s="11">
        <f>IF(H153=0,"",IF(A153&lt;2,"X not before month 2",IF(H153&lt;MAX(5000,Inputs!$B$7),"X below min",IF(H153&gt;MIN(5000000,0.75*J153),"X above max","OK"))))</f>
        <v/>
      </c>
      <c r="J153" s="13">
        <f>O152</f>
        <v/>
      </c>
      <c r="K153" s="13">
        <f>IF(J153&lt;=0.005,0,ROUND(J153*Inputs!$B$8,2))</f>
        <v/>
      </c>
      <c r="L153" s="13">
        <f>IF(J153&lt;=0.005,0,MIN(Inputs!$B$7,J153+K153))</f>
        <v/>
      </c>
      <c r="M153" s="13">
        <f>L153-K153</f>
        <v/>
      </c>
      <c r="N153" s="13">
        <f>IF(J153&lt;=0.005,0,MIN(H153,J153-M153))</f>
        <v/>
      </c>
      <c r="O153" s="13">
        <f>ROUND(J153-M153-N153,2)</f>
        <v/>
      </c>
    </row>
    <row r="154">
      <c r="A154" s="11" t="n">
        <v>152</v>
      </c>
      <c r="B154" s="12">
        <f>EDATE(Inputs!$B$6,A154-1)</f>
        <v/>
      </c>
      <c r="C154" s="13">
        <f>G153</f>
        <v/>
      </c>
      <c r="D154" s="13">
        <f>IF(C154&lt;=0.005,0,ROUND(C154*Inputs!$B$8,2))</f>
        <v/>
      </c>
      <c r="E154" s="13">
        <f>IF(C154&lt;=0.005,0,MIN(Inputs!$B$7,C154+D154))</f>
        <v/>
      </c>
      <c r="F154" s="13">
        <f>E154-D154</f>
        <v/>
      </c>
      <c r="G154" s="13">
        <f>ROUND(C154-F154,2)</f>
        <v/>
      </c>
      <c r="H154" s="14" t="n">
        <v>0</v>
      </c>
      <c r="I154" s="11">
        <f>IF(H154=0,"",IF(A154&lt;2,"X not before month 2",IF(H154&lt;MAX(5000,Inputs!$B$7),"X below min",IF(H154&gt;MIN(5000000,0.75*J154),"X above max","OK"))))</f>
        <v/>
      </c>
      <c r="J154" s="13">
        <f>O153</f>
        <v/>
      </c>
      <c r="K154" s="13">
        <f>IF(J154&lt;=0.005,0,ROUND(J154*Inputs!$B$8,2))</f>
        <v/>
      </c>
      <c r="L154" s="13">
        <f>IF(J154&lt;=0.005,0,MIN(Inputs!$B$7,J154+K154))</f>
        <v/>
      </c>
      <c r="M154" s="13">
        <f>L154-K154</f>
        <v/>
      </c>
      <c r="N154" s="13">
        <f>IF(J154&lt;=0.005,0,MIN(H154,J154-M154))</f>
        <v/>
      </c>
      <c r="O154" s="13">
        <f>ROUND(J154-M154-N154,2)</f>
        <v/>
      </c>
    </row>
    <row r="155">
      <c r="A155" s="11" t="n">
        <v>153</v>
      </c>
      <c r="B155" s="12">
        <f>EDATE(Inputs!$B$6,A155-1)</f>
        <v/>
      </c>
      <c r="C155" s="13">
        <f>G154</f>
        <v/>
      </c>
      <c r="D155" s="13">
        <f>IF(C155&lt;=0.005,0,ROUND(C155*Inputs!$B$8,2))</f>
        <v/>
      </c>
      <c r="E155" s="13">
        <f>IF(C155&lt;=0.005,0,MIN(Inputs!$B$7,C155+D155))</f>
        <v/>
      </c>
      <c r="F155" s="13">
        <f>E155-D155</f>
        <v/>
      </c>
      <c r="G155" s="13">
        <f>ROUND(C155-F155,2)</f>
        <v/>
      </c>
      <c r="H155" s="14" t="n">
        <v>0</v>
      </c>
      <c r="I155" s="11">
        <f>IF(H155=0,"",IF(A155&lt;2,"X not before month 2",IF(H155&lt;MAX(5000,Inputs!$B$7),"X below min",IF(H155&gt;MIN(5000000,0.75*J155),"X above max","OK"))))</f>
        <v/>
      </c>
      <c r="J155" s="13">
        <f>O154</f>
        <v/>
      </c>
      <c r="K155" s="13">
        <f>IF(J155&lt;=0.005,0,ROUND(J155*Inputs!$B$8,2))</f>
        <v/>
      </c>
      <c r="L155" s="13">
        <f>IF(J155&lt;=0.005,0,MIN(Inputs!$B$7,J155+K155))</f>
        <v/>
      </c>
      <c r="M155" s="13">
        <f>L155-K155</f>
        <v/>
      </c>
      <c r="N155" s="13">
        <f>IF(J155&lt;=0.005,0,MIN(H155,J155-M155))</f>
        <v/>
      </c>
      <c r="O155" s="13">
        <f>ROUND(J155-M155-N155,2)</f>
        <v/>
      </c>
    </row>
    <row r="156">
      <c r="A156" s="11" t="n">
        <v>154</v>
      </c>
      <c r="B156" s="12">
        <f>EDATE(Inputs!$B$6,A156-1)</f>
        <v/>
      </c>
      <c r="C156" s="13">
        <f>G155</f>
        <v/>
      </c>
      <c r="D156" s="13">
        <f>IF(C156&lt;=0.005,0,ROUND(C156*Inputs!$B$8,2))</f>
        <v/>
      </c>
      <c r="E156" s="13">
        <f>IF(C156&lt;=0.005,0,MIN(Inputs!$B$7,C156+D156))</f>
        <v/>
      </c>
      <c r="F156" s="13">
        <f>E156-D156</f>
        <v/>
      </c>
      <c r="G156" s="13">
        <f>ROUND(C156-F156,2)</f>
        <v/>
      </c>
      <c r="H156" s="14" t="n">
        <v>0</v>
      </c>
      <c r="I156" s="11">
        <f>IF(H156=0,"",IF(A156&lt;2,"X not before month 2",IF(H156&lt;MAX(5000,Inputs!$B$7),"X below min",IF(H156&gt;MIN(5000000,0.75*J156),"X above max","OK"))))</f>
        <v/>
      </c>
      <c r="J156" s="13">
        <f>O155</f>
        <v/>
      </c>
      <c r="K156" s="13">
        <f>IF(J156&lt;=0.005,0,ROUND(J156*Inputs!$B$8,2))</f>
        <v/>
      </c>
      <c r="L156" s="13">
        <f>IF(J156&lt;=0.005,0,MIN(Inputs!$B$7,J156+K156))</f>
        <v/>
      </c>
      <c r="M156" s="13">
        <f>L156-K156</f>
        <v/>
      </c>
      <c r="N156" s="13">
        <f>IF(J156&lt;=0.005,0,MIN(H156,J156-M156))</f>
        <v/>
      </c>
      <c r="O156" s="13">
        <f>ROUND(J156-M156-N156,2)</f>
        <v/>
      </c>
    </row>
    <row r="157">
      <c r="A157" s="11" t="n">
        <v>155</v>
      </c>
      <c r="B157" s="12">
        <f>EDATE(Inputs!$B$6,A157-1)</f>
        <v/>
      </c>
      <c r="C157" s="13">
        <f>G156</f>
        <v/>
      </c>
      <c r="D157" s="13">
        <f>IF(C157&lt;=0.005,0,ROUND(C157*Inputs!$B$8,2))</f>
        <v/>
      </c>
      <c r="E157" s="13">
        <f>IF(C157&lt;=0.005,0,MIN(Inputs!$B$7,C157+D157))</f>
        <v/>
      </c>
      <c r="F157" s="13">
        <f>E157-D157</f>
        <v/>
      </c>
      <c r="G157" s="13">
        <f>ROUND(C157-F157,2)</f>
        <v/>
      </c>
      <c r="H157" s="14" t="n">
        <v>0</v>
      </c>
      <c r="I157" s="11">
        <f>IF(H157=0,"",IF(A157&lt;2,"X not before month 2",IF(H157&lt;MAX(5000,Inputs!$B$7),"X below min",IF(H157&gt;MIN(5000000,0.75*J157),"X above max","OK"))))</f>
        <v/>
      </c>
      <c r="J157" s="13">
        <f>O156</f>
        <v/>
      </c>
      <c r="K157" s="13">
        <f>IF(J157&lt;=0.005,0,ROUND(J157*Inputs!$B$8,2))</f>
        <v/>
      </c>
      <c r="L157" s="13">
        <f>IF(J157&lt;=0.005,0,MIN(Inputs!$B$7,J157+K157))</f>
        <v/>
      </c>
      <c r="M157" s="13">
        <f>L157-K157</f>
        <v/>
      </c>
      <c r="N157" s="13">
        <f>IF(J157&lt;=0.005,0,MIN(H157,J157-M157))</f>
        <v/>
      </c>
      <c r="O157" s="13">
        <f>ROUND(J157-M157-N157,2)</f>
        <v/>
      </c>
    </row>
    <row r="158">
      <c r="A158" s="11" t="n">
        <v>156</v>
      </c>
      <c r="B158" s="12">
        <f>EDATE(Inputs!$B$6,A158-1)</f>
        <v/>
      </c>
      <c r="C158" s="13">
        <f>G157</f>
        <v/>
      </c>
      <c r="D158" s="13">
        <f>IF(C158&lt;=0.005,0,ROUND(C158*Inputs!$B$8,2))</f>
        <v/>
      </c>
      <c r="E158" s="13">
        <f>IF(C158&lt;=0.005,0,MIN(Inputs!$B$7,C158+D158))</f>
        <v/>
      </c>
      <c r="F158" s="13">
        <f>E158-D158</f>
        <v/>
      </c>
      <c r="G158" s="13">
        <f>ROUND(C158-F158,2)</f>
        <v/>
      </c>
      <c r="H158" s="14" t="n">
        <v>0</v>
      </c>
      <c r="I158" s="11">
        <f>IF(H158=0,"",IF(A158&lt;2,"X not before month 2",IF(H158&lt;MAX(5000,Inputs!$B$7),"X below min",IF(H158&gt;MIN(5000000,0.75*J158),"X above max","OK"))))</f>
        <v/>
      </c>
      <c r="J158" s="13">
        <f>O157</f>
        <v/>
      </c>
      <c r="K158" s="13">
        <f>IF(J158&lt;=0.005,0,ROUND(J158*Inputs!$B$8,2))</f>
        <v/>
      </c>
      <c r="L158" s="13">
        <f>IF(J158&lt;=0.005,0,MIN(Inputs!$B$7,J158+K158))</f>
        <v/>
      </c>
      <c r="M158" s="13">
        <f>L158-K158</f>
        <v/>
      </c>
      <c r="N158" s="13">
        <f>IF(J158&lt;=0.005,0,MIN(H158,J158-M158))</f>
        <v/>
      </c>
      <c r="O158" s="13">
        <f>ROUND(J158-M158-N158,2)</f>
        <v/>
      </c>
    </row>
    <row r="159">
      <c r="A159" s="11" t="n">
        <v>157</v>
      </c>
      <c r="B159" s="12">
        <f>EDATE(Inputs!$B$6,A159-1)</f>
        <v/>
      </c>
      <c r="C159" s="13">
        <f>G158</f>
        <v/>
      </c>
      <c r="D159" s="13">
        <f>IF(C159&lt;=0.005,0,ROUND(C159*Inputs!$B$8,2))</f>
        <v/>
      </c>
      <c r="E159" s="13">
        <f>IF(C159&lt;=0.005,0,MIN(Inputs!$B$7,C159+D159))</f>
        <v/>
      </c>
      <c r="F159" s="13">
        <f>E159-D159</f>
        <v/>
      </c>
      <c r="G159" s="13">
        <f>ROUND(C159-F159,2)</f>
        <v/>
      </c>
      <c r="H159" s="14" t="n">
        <v>0</v>
      </c>
      <c r="I159" s="11">
        <f>IF(H159=0,"",IF(A159&lt;2,"X not before month 2",IF(H159&lt;MAX(5000,Inputs!$B$7),"X below min",IF(H159&gt;MIN(5000000,0.75*J159),"X above max","OK"))))</f>
        <v/>
      </c>
      <c r="J159" s="13">
        <f>O158</f>
        <v/>
      </c>
      <c r="K159" s="13">
        <f>IF(J159&lt;=0.005,0,ROUND(J159*Inputs!$B$8,2))</f>
        <v/>
      </c>
      <c r="L159" s="13">
        <f>IF(J159&lt;=0.005,0,MIN(Inputs!$B$7,J159+K159))</f>
        <v/>
      </c>
      <c r="M159" s="13">
        <f>L159-K159</f>
        <v/>
      </c>
      <c r="N159" s="13">
        <f>IF(J159&lt;=0.005,0,MIN(H159,J159-M159))</f>
        <v/>
      </c>
      <c r="O159" s="13">
        <f>ROUND(J159-M159-N159,2)</f>
        <v/>
      </c>
    </row>
    <row r="160">
      <c r="A160" s="11" t="n">
        <v>158</v>
      </c>
      <c r="B160" s="12">
        <f>EDATE(Inputs!$B$6,A160-1)</f>
        <v/>
      </c>
      <c r="C160" s="13">
        <f>G159</f>
        <v/>
      </c>
      <c r="D160" s="13">
        <f>IF(C160&lt;=0.005,0,ROUND(C160*Inputs!$B$8,2))</f>
        <v/>
      </c>
      <c r="E160" s="13">
        <f>IF(C160&lt;=0.005,0,MIN(Inputs!$B$7,C160+D160))</f>
        <v/>
      </c>
      <c r="F160" s="13">
        <f>E160-D160</f>
        <v/>
      </c>
      <c r="G160" s="13">
        <f>ROUND(C160-F160,2)</f>
        <v/>
      </c>
      <c r="H160" s="14" t="n">
        <v>0</v>
      </c>
      <c r="I160" s="11">
        <f>IF(H160=0,"",IF(A160&lt;2,"X not before month 2",IF(H160&lt;MAX(5000,Inputs!$B$7),"X below min",IF(H160&gt;MIN(5000000,0.75*J160),"X above max","OK"))))</f>
        <v/>
      </c>
      <c r="J160" s="13">
        <f>O159</f>
        <v/>
      </c>
      <c r="K160" s="13">
        <f>IF(J160&lt;=0.005,0,ROUND(J160*Inputs!$B$8,2))</f>
        <v/>
      </c>
      <c r="L160" s="13">
        <f>IF(J160&lt;=0.005,0,MIN(Inputs!$B$7,J160+K160))</f>
        <v/>
      </c>
      <c r="M160" s="13">
        <f>L160-K160</f>
        <v/>
      </c>
      <c r="N160" s="13">
        <f>IF(J160&lt;=0.005,0,MIN(H160,J160-M160))</f>
        <v/>
      </c>
      <c r="O160" s="13">
        <f>ROUND(J160-M160-N160,2)</f>
        <v/>
      </c>
    </row>
    <row r="161">
      <c r="A161" s="11" t="n">
        <v>159</v>
      </c>
      <c r="B161" s="12">
        <f>EDATE(Inputs!$B$6,A161-1)</f>
        <v/>
      </c>
      <c r="C161" s="13">
        <f>G160</f>
        <v/>
      </c>
      <c r="D161" s="13">
        <f>IF(C161&lt;=0.005,0,ROUND(C161*Inputs!$B$8,2))</f>
        <v/>
      </c>
      <c r="E161" s="13">
        <f>IF(C161&lt;=0.005,0,MIN(Inputs!$B$7,C161+D161))</f>
        <v/>
      </c>
      <c r="F161" s="13">
        <f>E161-D161</f>
        <v/>
      </c>
      <c r="G161" s="13">
        <f>ROUND(C161-F161,2)</f>
        <v/>
      </c>
      <c r="H161" s="14" t="n">
        <v>0</v>
      </c>
      <c r="I161" s="11">
        <f>IF(H161=0,"",IF(A161&lt;2,"X not before month 2",IF(H161&lt;MAX(5000,Inputs!$B$7),"X below min",IF(H161&gt;MIN(5000000,0.75*J161),"X above max","OK"))))</f>
        <v/>
      </c>
      <c r="J161" s="13">
        <f>O160</f>
        <v/>
      </c>
      <c r="K161" s="13">
        <f>IF(J161&lt;=0.005,0,ROUND(J161*Inputs!$B$8,2))</f>
        <v/>
      </c>
      <c r="L161" s="13">
        <f>IF(J161&lt;=0.005,0,MIN(Inputs!$B$7,J161+K161))</f>
        <v/>
      </c>
      <c r="M161" s="13">
        <f>L161-K161</f>
        <v/>
      </c>
      <c r="N161" s="13">
        <f>IF(J161&lt;=0.005,0,MIN(H161,J161-M161))</f>
        <v/>
      </c>
      <c r="O161" s="13">
        <f>ROUND(J161-M161-N161,2)</f>
        <v/>
      </c>
    </row>
    <row r="162">
      <c r="A162" s="11" t="n">
        <v>160</v>
      </c>
      <c r="B162" s="12">
        <f>EDATE(Inputs!$B$6,A162-1)</f>
        <v/>
      </c>
      <c r="C162" s="13">
        <f>G161</f>
        <v/>
      </c>
      <c r="D162" s="13">
        <f>IF(C162&lt;=0.005,0,ROUND(C162*Inputs!$B$8,2))</f>
        <v/>
      </c>
      <c r="E162" s="13">
        <f>IF(C162&lt;=0.005,0,MIN(Inputs!$B$7,C162+D162))</f>
        <v/>
      </c>
      <c r="F162" s="13">
        <f>E162-D162</f>
        <v/>
      </c>
      <c r="G162" s="13">
        <f>ROUND(C162-F162,2)</f>
        <v/>
      </c>
      <c r="H162" s="14" t="n">
        <v>0</v>
      </c>
      <c r="I162" s="11">
        <f>IF(H162=0,"",IF(A162&lt;2,"X not before month 2",IF(H162&lt;MAX(5000,Inputs!$B$7),"X below min",IF(H162&gt;MIN(5000000,0.75*J162),"X above max","OK"))))</f>
        <v/>
      </c>
      <c r="J162" s="13">
        <f>O161</f>
        <v/>
      </c>
      <c r="K162" s="13">
        <f>IF(J162&lt;=0.005,0,ROUND(J162*Inputs!$B$8,2))</f>
        <v/>
      </c>
      <c r="L162" s="13">
        <f>IF(J162&lt;=0.005,0,MIN(Inputs!$B$7,J162+K162))</f>
        <v/>
      </c>
      <c r="M162" s="13">
        <f>L162-K162</f>
        <v/>
      </c>
      <c r="N162" s="13">
        <f>IF(J162&lt;=0.005,0,MIN(H162,J162-M162))</f>
        <v/>
      </c>
      <c r="O162" s="13">
        <f>ROUND(J162-M162-N162,2)</f>
        <v/>
      </c>
    </row>
    <row r="163">
      <c r="A163" s="11" t="n">
        <v>161</v>
      </c>
      <c r="B163" s="12">
        <f>EDATE(Inputs!$B$6,A163-1)</f>
        <v/>
      </c>
      <c r="C163" s="13">
        <f>G162</f>
        <v/>
      </c>
      <c r="D163" s="13">
        <f>IF(C163&lt;=0.005,0,ROUND(C163*Inputs!$B$8,2))</f>
        <v/>
      </c>
      <c r="E163" s="13">
        <f>IF(C163&lt;=0.005,0,MIN(Inputs!$B$7,C163+D163))</f>
        <v/>
      </c>
      <c r="F163" s="13">
        <f>E163-D163</f>
        <v/>
      </c>
      <c r="G163" s="13">
        <f>ROUND(C163-F163,2)</f>
        <v/>
      </c>
      <c r="H163" s="14" t="n">
        <v>0</v>
      </c>
      <c r="I163" s="11">
        <f>IF(H163=0,"",IF(A163&lt;2,"X not before month 2",IF(H163&lt;MAX(5000,Inputs!$B$7),"X below min",IF(H163&gt;MIN(5000000,0.75*J163),"X above max","OK"))))</f>
        <v/>
      </c>
      <c r="J163" s="13">
        <f>O162</f>
        <v/>
      </c>
      <c r="K163" s="13">
        <f>IF(J163&lt;=0.005,0,ROUND(J163*Inputs!$B$8,2))</f>
        <v/>
      </c>
      <c r="L163" s="13">
        <f>IF(J163&lt;=0.005,0,MIN(Inputs!$B$7,J163+K163))</f>
        <v/>
      </c>
      <c r="M163" s="13">
        <f>L163-K163</f>
        <v/>
      </c>
      <c r="N163" s="13">
        <f>IF(J163&lt;=0.005,0,MIN(H163,J163-M163))</f>
        <v/>
      </c>
      <c r="O163" s="13">
        <f>ROUND(J163-M163-N163,2)</f>
        <v/>
      </c>
    </row>
    <row r="164">
      <c r="A164" s="11" t="n">
        <v>162</v>
      </c>
      <c r="B164" s="12">
        <f>EDATE(Inputs!$B$6,A164-1)</f>
        <v/>
      </c>
      <c r="C164" s="13">
        <f>G163</f>
        <v/>
      </c>
      <c r="D164" s="13">
        <f>IF(C164&lt;=0.005,0,ROUND(C164*Inputs!$B$8,2))</f>
        <v/>
      </c>
      <c r="E164" s="13">
        <f>IF(C164&lt;=0.005,0,MIN(Inputs!$B$7,C164+D164))</f>
        <v/>
      </c>
      <c r="F164" s="13">
        <f>E164-D164</f>
        <v/>
      </c>
      <c r="G164" s="13">
        <f>ROUND(C164-F164,2)</f>
        <v/>
      </c>
      <c r="H164" s="14" t="n">
        <v>0</v>
      </c>
      <c r="I164" s="11">
        <f>IF(H164=0,"",IF(A164&lt;2,"X not before month 2",IF(H164&lt;MAX(5000,Inputs!$B$7),"X below min",IF(H164&gt;MIN(5000000,0.75*J164),"X above max","OK"))))</f>
        <v/>
      </c>
      <c r="J164" s="13">
        <f>O163</f>
        <v/>
      </c>
      <c r="K164" s="13">
        <f>IF(J164&lt;=0.005,0,ROUND(J164*Inputs!$B$8,2))</f>
        <v/>
      </c>
      <c r="L164" s="13">
        <f>IF(J164&lt;=0.005,0,MIN(Inputs!$B$7,J164+K164))</f>
        <v/>
      </c>
      <c r="M164" s="13">
        <f>L164-K164</f>
        <v/>
      </c>
      <c r="N164" s="13">
        <f>IF(J164&lt;=0.005,0,MIN(H164,J164-M164))</f>
        <v/>
      </c>
      <c r="O164" s="13">
        <f>ROUND(J164-M164-N164,2)</f>
        <v/>
      </c>
    </row>
    <row r="165">
      <c r="A165" s="11" t="n">
        <v>163</v>
      </c>
      <c r="B165" s="12">
        <f>EDATE(Inputs!$B$6,A165-1)</f>
        <v/>
      </c>
      <c r="C165" s="13">
        <f>G164</f>
        <v/>
      </c>
      <c r="D165" s="13">
        <f>IF(C165&lt;=0.005,0,ROUND(C165*Inputs!$B$8,2))</f>
        <v/>
      </c>
      <c r="E165" s="13">
        <f>IF(C165&lt;=0.005,0,MIN(Inputs!$B$7,C165+D165))</f>
        <v/>
      </c>
      <c r="F165" s="13">
        <f>E165-D165</f>
        <v/>
      </c>
      <c r="G165" s="13">
        <f>ROUND(C165-F165,2)</f>
        <v/>
      </c>
      <c r="H165" s="14" t="n">
        <v>0</v>
      </c>
      <c r="I165" s="11">
        <f>IF(H165=0,"",IF(A165&lt;2,"X not before month 2",IF(H165&lt;MAX(5000,Inputs!$B$7),"X below min",IF(H165&gt;MIN(5000000,0.75*J165),"X above max","OK"))))</f>
        <v/>
      </c>
      <c r="J165" s="13">
        <f>O164</f>
        <v/>
      </c>
      <c r="K165" s="13">
        <f>IF(J165&lt;=0.005,0,ROUND(J165*Inputs!$B$8,2))</f>
        <v/>
      </c>
      <c r="L165" s="13">
        <f>IF(J165&lt;=0.005,0,MIN(Inputs!$B$7,J165+K165))</f>
        <v/>
      </c>
      <c r="M165" s="13">
        <f>L165-K165</f>
        <v/>
      </c>
      <c r="N165" s="13">
        <f>IF(J165&lt;=0.005,0,MIN(H165,J165-M165))</f>
        <v/>
      </c>
      <c r="O165" s="13">
        <f>ROUND(J165-M165-N165,2)</f>
        <v/>
      </c>
    </row>
    <row r="166">
      <c r="A166" s="11" t="n">
        <v>164</v>
      </c>
      <c r="B166" s="12">
        <f>EDATE(Inputs!$B$6,A166-1)</f>
        <v/>
      </c>
      <c r="C166" s="13">
        <f>G165</f>
        <v/>
      </c>
      <c r="D166" s="13">
        <f>IF(C166&lt;=0.005,0,ROUND(C166*Inputs!$B$8,2))</f>
        <v/>
      </c>
      <c r="E166" s="13">
        <f>IF(C166&lt;=0.005,0,MIN(Inputs!$B$7,C166+D166))</f>
        <v/>
      </c>
      <c r="F166" s="13">
        <f>E166-D166</f>
        <v/>
      </c>
      <c r="G166" s="13">
        <f>ROUND(C166-F166,2)</f>
        <v/>
      </c>
      <c r="H166" s="14" t="n">
        <v>0</v>
      </c>
      <c r="I166" s="11">
        <f>IF(H166=0,"",IF(A166&lt;2,"X not before month 2",IF(H166&lt;MAX(5000,Inputs!$B$7),"X below min",IF(H166&gt;MIN(5000000,0.75*J166),"X above max","OK"))))</f>
        <v/>
      </c>
      <c r="J166" s="13">
        <f>O165</f>
        <v/>
      </c>
      <c r="K166" s="13">
        <f>IF(J166&lt;=0.005,0,ROUND(J166*Inputs!$B$8,2))</f>
        <v/>
      </c>
      <c r="L166" s="13">
        <f>IF(J166&lt;=0.005,0,MIN(Inputs!$B$7,J166+K166))</f>
        <v/>
      </c>
      <c r="M166" s="13">
        <f>L166-K166</f>
        <v/>
      </c>
      <c r="N166" s="13">
        <f>IF(J166&lt;=0.005,0,MIN(H166,J166-M166))</f>
        <v/>
      </c>
      <c r="O166" s="13">
        <f>ROUND(J166-M166-N166,2)</f>
        <v/>
      </c>
    </row>
    <row r="167">
      <c r="A167" s="11" t="n">
        <v>165</v>
      </c>
      <c r="B167" s="12">
        <f>EDATE(Inputs!$B$6,A167-1)</f>
        <v/>
      </c>
      <c r="C167" s="13">
        <f>G166</f>
        <v/>
      </c>
      <c r="D167" s="13">
        <f>IF(C167&lt;=0.005,0,ROUND(C167*Inputs!$B$8,2))</f>
        <v/>
      </c>
      <c r="E167" s="13">
        <f>IF(C167&lt;=0.005,0,MIN(Inputs!$B$7,C167+D167))</f>
        <v/>
      </c>
      <c r="F167" s="13">
        <f>E167-D167</f>
        <v/>
      </c>
      <c r="G167" s="13">
        <f>ROUND(C167-F167,2)</f>
        <v/>
      </c>
      <c r="H167" s="14" t="n">
        <v>0</v>
      </c>
      <c r="I167" s="11">
        <f>IF(H167=0,"",IF(A167&lt;2,"X not before month 2",IF(H167&lt;MAX(5000,Inputs!$B$7),"X below min",IF(H167&gt;MIN(5000000,0.75*J167),"X above max","OK"))))</f>
        <v/>
      </c>
      <c r="J167" s="13">
        <f>O166</f>
        <v/>
      </c>
      <c r="K167" s="13">
        <f>IF(J167&lt;=0.005,0,ROUND(J167*Inputs!$B$8,2))</f>
        <v/>
      </c>
      <c r="L167" s="13">
        <f>IF(J167&lt;=0.005,0,MIN(Inputs!$B$7,J167+K167))</f>
        <v/>
      </c>
      <c r="M167" s="13">
        <f>L167-K167</f>
        <v/>
      </c>
      <c r="N167" s="13">
        <f>IF(J167&lt;=0.005,0,MIN(H167,J167-M167))</f>
        <v/>
      </c>
      <c r="O167" s="13">
        <f>ROUND(J167-M167-N167,2)</f>
        <v/>
      </c>
    </row>
    <row r="168">
      <c r="A168" s="11" t="n">
        <v>166</v>
      </c>
      <c r="B168" s="12">
        <f>EDATE(Inputs!$B$6,A168-1)</f>
        <v/>
      </c>
      <c r="C168" s="13">
        <f>G167</f>
        <v/>
      </c>
      <c r="D168" s="13">
        <f>IF(C168&lt;=0.005,0,ROUND(C168*Inputs!$B$8,2))</f>
        <v/>
      </c>
      <c r="E168" s="13">
        <f>IF(C168&lt;=0.005,0,MIN(Inputs!$B$7,C168+D168))</f>
        <v/>
      </c>
      <c r="F168" s="13">
        <f>E168-D168</f>
        <v/>
      </c>
      <c r="G168" s="13">
        <f>ROUND(C168-F168,2)</f>
        <v/>
      </c>
      <c r="H168" s="14" t="n">
        <v>0</v>
      </c>
      <c r="I168" s="11">
        <f>IF(H168=0,"",IF(A168&lt;2,"X not before month 2",IF(H168&lt;MAX(5000,Inputs!$B$7),"X below min",IF(H168&gt;MIN(5000000,0.75*J168),"X above max","OK"))))</f>
        <v/>
      </c>
      <c r="J168" s="13">
        <f>O167</f>
        <v/>
      </c>
      <c r="K168" s="13">
        <f>IF(J168&lt;=0.005,0,ROUND(J168*Inputs!$B$8,2))</f>
        <v/>
      </c>
      <c r="L168" s="13">
        <f>IF(J168&lt;=0.005,0,MIN(Inputs!$B$7,J168+K168))</f>
        <v/>
      </c>
      <c r="M168" s="13">
        <f>L168-K168</f>
        <v/>
      </c>
      <c r="N168" s="13">
        <f>IF(J168&lt;=0.005,0,MIN(H168,J168-M168))</f>
        <v/>
      </c>
      <c r="O168" s="13">
        <f>ROUND(J168-M168-N168,2)</f>
        <v/>
      </c>
    </row>
    <row r="169">
      <c r="A169" s="11" t="n">
        <v>167</v>
      </c>
      <c r="B169" s="12">
        <f>EDATE(Inputs!$B$6,A169-1)</f>
        <v/>
      </c>
      <c r="C169" s="13">
        <f>G168</f>
        <v/>
      </c>
      <c r="D169" s="13">
        <f>IF(C169&lt;=0.005,0,ROUND(C169*Inputs!$B$8,2))</f>
        <v/>
      </c>
      <c r="E169" s="13">
        <f>IF(C169&lt;=0.005,0,MIN(Inputs!$B$7,C169+D169))</f>
        <v/>
      </c>
      <c r="F169" s="13">
        <f>E169-D169</f>
        <v/>
      </c>
      <c r="G169" s="13">
        <f>ROUND(C169-F169,2)</f>
        <v/>
      </c>
      <c r="H169" s="14" t="n">
        <v>0</v>
      </c>
      <c r="I169" s="11">
        <f>IF(H169=0,"",IF(A169&lt;2,"X not before month 2",IF(H169&lt;MAX(5000,Inputs!$B$7),"X below min",IF(H169&gt;MIN(5000000,0.75*J169),"X above max","OK"))))</f>
        <v/>
      </c>
      <c r="J169" s="13">
        <f>O168</f>
        <v/>
      </c>
      <c r="K169" s="13">
        <f>IF(J169&lt;=0.005,0,ROUND(J169*Inputs!$B$8,2))</f>
        <v/>
      </c>
      <c r="L169" s="13">
        <f>IF(J169&lt;=0.005,0,MIN(Inputs!$B$7,J169+K169))</f>
        <v/>
      </c>
      <c r="M169" s="13">
        <f>L169-K169</f>
        <v/>
      </c>
      <c r="N169" s="13">
        <f>IF(J169&lt;=0.005,0,MIN(H169,J169-M169))</f>
        <v/>
      </c>
      <c r="O169" s="13">
        <f>ROUND(J169-M169-N169,2)</f>
        <v/>
      </c>
    </row>
    <row r="170">
      <c r="A170" s="11" t="n">
        <v>168</v>
      </c>
      <c r="B170" s="12">
        <f>EDATE(Inputs!$B$6,A170-1)</f>
        <v/>
      </c>
      <c r="C170" s="13">
        <f>G169</f>
        <v/>
      </c>
      <c r="D170" s="13">
        <f>IF(C170&lt;=0.005,0,ROUND(C170*Inputs!$B$8,2))</f>
        <v/>
      </c>
      <c r="E170" s="13">
        <f>IF(C170&lt;=0.005,0,MIN(Inputs!$B$7,C170+D170))</f>
        <v/>
      </c>
      <c r="F170" s="13">
        <f>E170-D170</f>
        <v/>
      </c>
      <c r="G170" s="13">
        <f>ROUND(C170-F170,2)</f>
        <v/>
      </c>
      <c r="H170" s="14" t="n">
        <v>0</v>
      </c>
      <c r="I170" s="11">
        <f>IF(H170=0,"",IF(A170&lt;2,"X not before month 2",IF(H170&lt;MAX(5000,Inputs!$B$7),"X below min",IF(H170&gt;MIN(5000000,0.75*J170),"X above max","OK"))))</f>
        <v/>
      </c>
      <c r="J170" s="13">
        <f>O169</f>
        <v/>
      </c>
      <c r="K170" s="13">
        <f>IF(J170&lt;=0.005,0,ROUND(J170*Inputs!$B$8,2))</f>
        <v/>
      </c>
      <c r="L170" s="13">
        <f>IF(J170&lt;=0.005,0,MIN(Inputs!$B$7,J170+K170))</f>
        <v/>
      </c>
      <c r="M170" s="13">
        <f>L170-K170</f>
        <v/>
      </c>
      <c r="N170" s="13">
        <f>IF(J170&lt;=0.005,0,MIN(H170,J170-M170))</f>
        <v/>
      </c>
      <c r="O170" s="13">
        <f>ROUND(J170-M170-N170,2)</f>
        <v/>
      </c>
    </row>
    <row r="171">
      <c r="A171" s="11" t="n">
        <v>169</v>
      </c>
      <c r="B171" s="12">
        <f>EDATE(Inputs!$B$6,A171-1)</f>
        <v/>
      </c>
      <c r="C171" s="13">
        <f>G170</f>
        <v/>
      </c>
      <c r="D171" s="13">
        <f>IF(C171&lt;=0.005,0,ROUND(C171*Inputs!$B$8,2))</f>
        <v/>
      </c>
      <c r="E171" s="13">
        <f>IF(C171&lt;=0.005,0,MIN(Inputs!$B$7,C171+D171))</f>
        <v/>
      </c>
      <c r="F171" s="13">
        <f>E171-D171</f>
        <v/>
      </c>
      <c r="G171" s="13">
        <f>ROUND(C171-F171,2)</f>
        <v/>
      </c>
      <c r="H171" s="14" t="n">
        <v>0</v>
      </c>
      <c r="I171" s="11">
        <f>IF(H171=0,"",IF(A171&lt;2,"X not before month 2",IF(H171&lt;MAX(5000,Inputs!$B$7),"X below min",IF(H171&gt;MIN(5000000,0.75*J171),"X above max","OK"))))</f>
        <v/>
      </c>
      <c r="J171" s="13">
        <f>O170</f>
        <v/>
      </c>
      <c r="K171" s="13">
        <f>IF(J171&lt;=0.005,0,ROUND(J171*Inputs!$B$8,2))</f>
        <v/>
      </c>
      <c r="L171" s="13">
        <f>IF(J171&lt;=0.005,0,MIN(Inputs!$B$7,J171+K171))</f>
        <v/>
      </c>
      <c r="M171" s="13">
        <f>L171-K171</f>
        <v/>
      </c>
      <c r="N171" s="13">
        <f>IF(J171&lt;=0.005,0,MIN(H171,J171-M171))</f>
        <v/>
      </c>
      <c r="O171" s="13">
        <f>ROUND(J171-M171-N171,2)</f>
        <v/>
      </c>
    </row>
    <row r="172">
      <c r="A172" s="11" t="n">
        <v>170</v>
      </c>
      <c r="B172" s="12">
        <f>EDATE(Inputs!$B$6,A172-1)</f>
        <v/>
      </c>
      <c r="C172" s="13">
        <f>G171</f>
        <v/>
      </c>
      <c r="D172" s="13">
        <f>IF(C172&lt;=0.005,0,ROUND(C172*Inputs!$B$8,2))</f>
        <v/>
      </c>
      <c r="E172" s="13">
        <f>IF(C172&lt;=0.005,0,MIN(Inputs!$B$7,C172+D172))</f>
        <v/>
      </c>
      <c r="F172" s="13">
        <f>E172-D172</f>
        <v/>
      </c>
      <c r="G172" s="13">
        <f>ROUND(C172-F172,2)</f>
        <v/>
      </c>
      <c r="H172" s="14" t="n">
        <v>0</v>
      </c>
      <c r="I172" s="11">
        <f>IF(H172=0,"",IF(A172&lt;2,"X not before month 2",IF(H172&lt;MAX(5000,Inputs!$B$7),"X below min",IF(H172&gt;MIN(5000000,0.75*J172),"X above max","OK"))))</f>
        <v/>
      </c>
      <c r="J172" s="13">
        <f>O171</f>
        <v/>
      </c>
      <c r="K172" s="13">
        <f>IF(J172&lt;=0.005,0,ROUND(J172*Inputs!$B$8,2))</f>
        <v/>
      </c>
      <c r="L172" s="13">
        <f>IF(J172&lt;=0.005,0,MIN(Inputs!$B$7,J172+K172))</f>
        <v/>
      </c>
      <c r="M172" s="13">
        <f>L172-K172</f>
        <v/>
      </c>
      <c r="N172" s="13">
        <f>IF(J172&lt;=0.005,0,MIN(H172,J172-M172))</f>
        <v/>
      </c>
      <c r="O172" s="13">
        <f>ROUND(J172-M172-N172,2)</f>
        <v/>
      </c>
    </row>
    <row r="173">
      <c r="A173" s="11" t="n">
        <v>171</v>
      </c>
      <c r="B173" s="12">
        <f>EDATE(Inputs!$B$6,A173-1)</f>
        <v/>
      </c>
      <c r="C173" s="13">
        <f>G172</f>
        <v/>
      </c>
      <c r="D173" s="13">
        <f>IF(C173&lt;=0.005,0,ROUND(C173*Inputs!$B$8,2))</f>
        <v/>
      </c>
      <c r="E173" s="13">
        <f>IF(C173&lt;=0.005,0,MIN(Inputs!$B$7,C173+D173))</f>
        <v/>
      </c>
      <c r="F173" s="13">
        <f>E173-D173</f>
        <v/>
      </c>
      <c r="G173" s="13">
        <f>ROUND(C173-F173,2)</f>
        <v/>
      </c>
      <c r="H173" s="14" t="n">
        <v>0</v>
      </c>
      <c r="I173" s="11">
        <f>IF(H173=0,"",IF(A173&lt;2,"X not before month 2",IF(H173&lt;MAX(5000,Inputs!$B$7),"X below min",IF(H173&gt;MIN(5000000,0.75*J173),"X above max","OK"))))</f>
        <v/>
      </c>
      <c r="J173" s="13">
        <f>O172</f>
        <v/>
      </c>
      <c r="K173" s="13">
        <f>IF(J173&lt;=0.005,0,ROUND(J173*Inputs!$B$8,2))</f>
        <v/>
      </c>
      <c r="L173" s="13">
        <f>IF(J173&lt;=0.005,0,MIN(Inputs!$B$7,J173+K173))</f>
        <v/>
      </c>
      <c r="M173" s="13">
        <f>L173-K173</f>
        <v/>
      </c>
      <c r="N173" s="13">
        <f>IF(J173&lt;=0.005,0,MIN(H173,J173-M173))</f>
        <v/>
      </c>
      <c r="O173" s="13">
        <f>ROUND(J173-M173-N173,2)</f>
        <v/>
      </c>
    </row>
    <row r="174">
      <c r="A174" s="11" t="n">
        <v>172</v>
      </c>
      <c r="B174" s="12">
        <f>EDATE(Inputs!$B$6,A174-1)</f>
        <v/>
      </c>
      <c r="C174" s="13">
        <f>G173</f>
        <v/>
      </c>
      <c r="D174" s="13">
        <f>IF(C174&lt;=0.005,0,ROUND(C174*Inputs!$B$8,2))</f>
        <v/>
      </c>
      <c r="E174" s="13">
        <f>IF(C174&lt;=0.005,0,MIN(Inputs!$B$7,C174+D174))</f>
        <v/>
      </c>
      <c r="F174" s="13">
        <f>E174-D174</f>
        <v/>
      </c>
      <c r="G174" s="13">
        <f>ROUND(C174-F174,2)</f>
        <v/>
      </c>
      <c r="H174" s="14" t="n">
        <v>0</v>
      </c>
      <c r="I174" s="11">
        <f>IF(H174=0,"",IF(A174&lt;2,"X not before month 2",IF(H174&lt;MAX(5000,Inputs!$B$7),"X below min",IF(H174&gt;MIN(5000000,0.75*J174),"X above max","OK"))))</f>
        <v/>
      </c>
      <c r="J174" s="13">
        <f>O173</f>
        <v/>
      </c>
      <c r="K174" s="13">
        <f>IF(J174&lt;=0.005,0,ROUND(J174*Inputs!$B$8,2))</f>
        <v/>
      </c>
      <c r="L174" s="13">
        <f>IF(J174&lt;=0.005,0,MIN(Inputs!$B$7,J174+K174))</f>
        <v/>
      </c>
      <c r="M174" s="13">
        <f>L174-K174</f>
        <v/>
      </c>
      <c r="N174" s="13">
        <f>IF(J174&lt;=0.005,0,MIN(H174,J174-M174))</f>
        <v/>
      </c>
      <c r="O174" s="13">
        <f>ROUND(J174-M174-N174,2)</f>
        <v/>
      </c>
    </row>
    <row r="175">
      <c r="A175" s="11" t="n">
        <v>173</v>
      </c>
      <c r="B175" s="12">
        <f>EDATE(Inputs!$B$6,A175-1)</f>
        <v/>
      </c>
      <c r="C175" s="13">
        <f>G174</f>
        <v/>
      </c>
      <c r="D175" s="13">
        <f>IF(C175&lt;=0.005,0,ROUND(C175*Inputs!$B$8,2))</f>
        <v/>
      </c>
      <c r="E175" s="13">
        <f>IF(C175&lt;=0.005,0,MIN(Inputs!$B$7,C175+D175))</f>
        <v/>
      </c>
      <c r="F175" s="13">
        <f>E175-D175</f>
        <v/>
      </c>
      <c r="G175" s="13">
        <f>ROUND(C175-F175,2)</f>
        <v/>
      </c>
      <c r="H175" s="14" t="n">
        <v>0</v>
      </c>
      <c r="I175" s="11">
        <f>IF(H175=0,"",IF(A175&lt;2,"X not before month 2",IF(H175&lt;MAX(5000,Inputs!$B$7),"X below min",IF(H175&gt;MIN(5000000,0.75*J175),"X above max","OK"))))</f>
        <v/>
      </c>
      <c r="J175" s="13">
        <f>O174</f>
        <v/>
      </c>
      <c r="K175" s="13">
        <f>IF(J175&lt;=0.005,0,ROUND(J175*Inputs!$B$8,2))</f>
        <v/>
      </c>
      <c r="L175" s="13">
        <f>IF(J175&lt;=0.005,0,MIN(Inputs!$B$7,J175+K175))</f>
        <v/>
      </c>
      <c r="M175" s="13">
        <f>L175-K175</f>
        <v/>
      </c>
      <c r="N175" s="13">
        <f>IF(J175&lt;=0.005,0,MIN(H175,J175-M175))</f>
        <v/>
      </c>
      <c r="O175" s="13">
        <f>ROUND(J175-M175-N175,2)</f>
        <v/>
      </c>
    </row>
    <row r="176">
      <c r="A176" s="11" t="n">
        <v>174</v>
      </c>
      <c r="B176" s="12">
        <f>EDATE(Inputs!$B$6,A176-1)</f>
        <v/>
      </c>
      <c r="C176" s="13">
        <f>G175</f>
        <v/>
      </c>
      <c r="D176" s="13">
        <f>IF(C176&lt;=0.005,0,ROUND(C176*Inputs!$B$8,2))</f>
        <v/>
      </c>
      <c r="E176" s="13">
        <f>IF(C176&lt;=0.005,0,MIN(Inputs!$B$7,C176+D176))</f>
        <v/>
      </c>
      <c r="F176" s="13">
        <f>E176-D176</f>
        <v/>
      </c>
      <c r="G176" s="13">
        <f>ROUND(C176-F176,2)</f>
        <v/>
      </c>
      <c r="H176" s="14" t="n">
        <v>0</v>
      </c>
      <c r="I176" s="11">
        <f>IF(H176=0,"",IF(A176&lt;2,"X not before month 2",IF(H176&lt;MAX(5000,Inputs!$B$7),"X below min",IF(H176&gt;MIN(5000000,0.75*J176),"X above max","OK"))))</f>
        <v/>
      </c>
      <c r="J176" s="13">
        <f>O175</f>
        <v/>
      </c>
      <c r="K176" s="13">
        <f>IF(J176&lt;=0.005,0,ROUND(J176*Inputs!$B$8,2))</f>
        <v/>
      </c>
      <c r="L176" s="13">
        <f>IF(J176&lt;=0.005,0,MIN(Inputs!$B$7,J176+K176))</f>
        <v/>
      </c>
      <c r="M176" s="13">
        <f>L176-K176</f>
        <v/>
      </c>
      <c r="N176" s="13">
        <f>IF(J176&lt;=0.005,0,MIN(H176,J176-M176))</f>
        <v/>
      </c>
      <c r="O176" s="13">
        <f>ROUND(J176-M176-N176,2)</f>
        <v/>
      </c>
    </row>
    <row r="177">
      <c r="A177" s="11" t="n">
        <v>175</v>
      </c>
      <c r="B177" s="12">
        <f>EDATE(Inputs!$B$6,A177-1)</f>
        <v/>
      </c>
      <c r="C177" s="13">
        <f>G176</f>
        <v/>
      </c>
      <c r="D177" s="13">
        <f>IF(C177&lt;=0.005,0,ROUND(C177*Inputs!$B$8,2))</f>
        <v/>
      </c>
      <c r="E177" s="13">
        <f>IF(C177&lt;=0.005,0,MIN(Inputs!$B$7,C177+D177))</f>
        <v/>
      </c>
      <c r="F177" s="13">
        <f>E177-D177</f>
        <v/>
      </c>
      <c r="G177" s="13">
        <f>ROUND(C177-F177,2)</f>
        <v/>
      </c>
      <c r="H177" s="14" t="n">
        <v>0</v>
      </c>
      <c r="I177" s="11">
        <f>IF(H177=0,"",IF(A177&lt;2,"X not before month 2",IF(H177&lt;MAX(5000,Inputs!$B$7),"X below min",IF(H177&gt;MIN(5000000,0.75*J177),"X above max","OK"))))</f>
        <v/>
      </c>
      <c r="J177" s="13">
        <f>O176</f>
        <v/>
      </c>
      <c r="K177" s="13">
        <f>IF(J177&lt;=0.005,0,ROUND(J177*Inputs!$B$8,2))</f>
        <v/>
      </c>
      <c r="L177" s="13">
        <f>IF(J177&lt;=0.005,0,MIN(Inputs!$B$7,J177+K177))</f>
        <v/>
      </c>
      <c r="M177" s="13">
        <f>L177-K177</f>
        <v/>
      </c>
      <c r="N177" s="13">
        <f>IF(J177&lt;=0.005,0,MIN(H177,J177-M177))</f>
        <v/>
      </c>
      <c r="O177" s="13">
        <f>ROUND(J177-M177-N177,2)</f>
        <v/>
      </c>
    </row>
    <row r="178">
      <c r="A178" s="11" t="n">
        <v>176</v>
      </c>
      <c r="B178" s="12">
        <f>EDATE(Inputs!$B$6,A178-1)</f>
        <v/>
      </c>
      <c r="C178" s="13">
        <f>G177</f>
        <v/>
      </c>
      <c r="D178" s="13">
        <f>IF(C178&lt;=0.005,0,ROUND(C178*Inputs!$B$8,2))</f>
        <v/>
      </c>
      <c r="E178" s="13">
        <f>IF(C178&lt;=0.005,0,MIN(Inputs!$B$7,C178+D178))</f>
        <v/>
      </c>
      <c r="F178" s="13">
        <f>E178-D178</f>
        <v/>
      </c>
      <c r="G178" s="13">
        <f>ROUND(C178-F178,2)</f>
        <v/>
      </c>
      <c r="H178" s="14" t="n">
        <v>0</v>
      </c>
      <c r="I178" s="11">
        <f>IF(H178=0,"",IF(A178&lt;2,"X not before month 2",IF(H178&lt;MAX(5000,Inputs!$B$7),"X below min",IF(H178&gt;MIN(5000000,0.75*J178),"X above max","OK"))))</f>
        <v/>
      </c>
      <c r="J178" s="13">
        <f>O177</f>
        <v/>
      </c>
      <c r="K178" s="13">
        <f>IF(J178&lt;=0.005,0,ROUND(J178*Inputs!$B$8,2))</f>
        <v/>
      </c>
      <c r="L178" s="13">
        <f>IF(J178&lt;=0.005,0,MIN(Inputs!$B$7,J178+K178))</f>
        <v/>
      </c>
      <c r="M178" s="13">
        <f>L178-K178</f>
        <v/>
      </c>
      <c r="N178" s="13">
        <f>IF(J178&lt;=0.005,0,MIN(H178,J178-M178))</f>
        <v/>
      </c>
      <c r="O178" s="13">
        <f>ROUND(J178-M178-N178,2)</f>
        <v/>
      </c>
    </row>
    <row r="179">
      <c r="A179" s="11" t="n">
        <v>177</v>
      </c>
      <c r="B179" s="12">
        <f>EDATE(Inputs!$B$6,A179-1)</f>
        <v/>
      </c>
      <c r="C179" s="13">
        <f>G178</f>
        <v/>
      </c>
      <c r="D179" s="13">
        <f>IF(C179&lt;=0.005,0,ROUND(C179*Inputs!$B$8,2))</f>
        <v/>
      </c>
      <c r="E179" s="13">
        <f>IF(C179&lt;=0.005,0,MIN(Inputs!$B$7,C179+D179))</f>
        <v/>
      </c>
      <c r="F179" s="13">
        <f>E179-D179</f>
        <v/>
      </c>
      <c r="G179" s="13">
        <f>ROUND(C179-F179,2)</f>
        <v/>
      </c>
      <c r="H179" s="14" t="n">
        <v>0</v>
      </c>
      <c r="I179" s="11">
        <f>IF(H179=0,"",IF(A179&lt;2,"X not before month 2",IF(H179&lt;MAX(5000,Inputs!$B$7),"X below min",IF(H179&gt;MIN(5000000,0.75*J179),"X above max","OK"))))</f>
        <v/>
      </c>
      <c r="J179" s="13">
        <f>O178</f>
        <v/>
      </c>
      <c r="K179" s="13">
        <f>IF(J179&lt;=0.005,0,ROUND(J179*Inputs!$B$8,2))</f>
        <v/>
      </c>
      <c r="L179" s="13">
        <f>IF(J179&lt;=0.005,0,MIN(Inputs!$B$7,J179+K179))</f>
        <v/>
      </c>
      <c r="M179" s="13">
        <f>L179-K179</f>
        <v/>
      </c>
      <c r="N179" s="13">
        <f>IF(J179&lt;=0.005,0,MIN(H179,J179-M179))</f>
        <v/>
      </c>
      <c r="O179" s="13">
        <f>ROUND(J179-M179-N179,2)</f>
        <v/>
      </c>
    </row>
    <row r="180">
      <c r="A180" s="11" t="n">
        <v>178</v>
      </c>
      <c r="B180" s="12">
        <f>EDATE(Inputs!$B$6,A180-1)</f>
        <v/>
      </c>
      <c r="C180" s="13">
        <f>G179</f>
        <v/>
      </c>
      <c r="D180" s="13">
        <f>IF(C180&lt;=0.005,0,ROUND(C180*Inputs!$B$8,2))</f>
        <v/>
      </c>
      <c r="E180" s="13">
        <f>IF(C180&lt;=0.005,0,MIN(Inputs!$B$7,C180+D180))</f>
        <v/>
      </c>
      <c r="F180" s="13">
        <f>E180-D180</f>
        <v/>
      </c>
      <c r="G180" s="13">
        <f>ROUND(C180-F180,2)</f>
        <v/>
      </c>
      <c r="H180" s="14" t="n">
        <v>0</v>
      </c>
      <c r="I180" s="11">
        <f>IF(H180=0,"",IF(A180&lt;2,"X not before month 2",IF(H180&lt;MAX(5000,Inputs!$B$7),"X below min",IF(H180&gt;MIN(5000000,0.75*J180),"X above max","OK"))))</f>
        <v/>
      </c>
      <c r="J180" s="13">
        <f>O179</f>
        <v/>
      </c>
      <c r="K180" s="13">
        <f>IF(J180&lt;=0.005,0,ROUND(J180*Inputs!$B$8,2))</f>
        <v/>
      </c>
      <c r="L180" s="13">
        <f>IF(J180&lt;=0.005,0,MIN(Inputs!$B$7,J180+K180))</f>
        <v/>
      </c>
      <c r="M180" s="13">
        <f>L180-K180</f>
        <v/>
      </c>
      <c r="N180" s="13">
        <f>IF(J180&lt;=0.005,0,MIN(H180,J180-M180))</f>
        <v/>
      </c>
      <c r="O180" s="13">
        <f>ROUND(J180-M180-N180,2)</f>
        <v/>
      </c>
    </row>
    <row r="181">
      <c r="A181" s="11" t="n">
        <v>179</v>
      </c>
      <c r="B181" s="12">
        <f>EDATE(Inputs!$B$6,A181-1)</f>
        <v/>
      </c>
      <c r="C181" s="13">
        <f>G180</f>
        <v/>
      </c>
      <c r="D181" s="13">
        <f>IF(C181&lt;=0.005,0,ROUND(C181*Inputs!$B$8,2))</f>
        <v/>
      </c>
      <c r="E181" s="13">
        <f>IF(C181&lt;=0.005,0,MIN(Inputs!$B$7,C181+D181))</f>
        <v/>
      </c>
      <c r="F181" s="13">
        <f>E181-D181</f>
        <v/>
      </c>
      <c r="G181" s="13">
        <f>ROUND(C181-F181,2)</f>
        <v/>
      </c>
      <c r="H181" s="14" t="n">
        <v>0</v>
      </c>
      <c r="I181" s="11">
        <f>IF(H181=0,"",IF(A181&lt;2,"X not before month 2",IF(H181&lt;MAX(5000,Inputs!$B$7),"X below min",IF(H181&gt;MIN(5000000,0.75*J181),"X above max","OK"))))</f>
        <v/>
      </c>
      <c r="J181" s="13">
        <f>O180</f>
        <v/>
      </c>
      <c r="K181" s="13">
        <f>IF(J181&lt;=0.005,0,ROUND(J181*Inputs!$B$8,2))</f>
        <v/>
      </c>
      <c r="L181" s="13">
        <f>IF(J181&lt;=0.005,0,MIN(Inputs!$B$7,J181+K181))</f>
        <v/>
      </c>
      <c r="M181" s="13">
        <f>L181-K181</f>
        <v/>
      </c>
      <c r="N181" s="13">
        <f>IF(J181&lt;=0.005,0,MIN(H181,J181-M181))</f>
        <v/>
      </c>
      <c r="O181" s="13">
        <f>ROUND(J181-M181-N181,2)</f>
        <v/>
      </c>
    </row>
    <row r="182">
      <c r="A182" s="11" t="n">
        <v>180</v>
      </c>
      <c r="B182" s="12">
        <f>EDATE(Inputs!$B$6,A182-1)</f>
        <v/>
      </c>
      <c r="C182" s="13">
        <f>G181</f>
        <v/>
      </c>
      <c r="D182" s="13">
        <f>IF(C182&lt;=0.005,0,ROUND(C182*Inputs!$B$8,2))</f>
        <v/>
      </c>
      <c r="E182" s="13">
        <f>IF(C182&lt;=0.005,0,MIN(Inputs!$B$7,C182+D182))</f>
        <v/>
      </c>
      <c r="F182" s="13">
        <f>E182-D182</f>
        <v/>
      </c>
      <c r="G182" s="13">
        <f>ROUND(C182-F182,2)</f>
        <v/>
      </c>
      <c r="H182" s="14" t="n">
        <v>0</v>
      </c>
      <c r="I182" s="11">
        <f>IF(H182=0,"",IF(A182&lt;2,"X not before month 2",IF(H182&lt;MAX(5000,Inputs!$B$7),"X below min",IF(H182&gt;MIN(5000000,0.75*J182),"X above max","OK"))))</f>
        <v/>
      </c>
      <c r="J182" s="13">
        <f>O181</f>
        <v/>
      </c>
      <c r="K182" s="13">
        <f>IF(J182&lt;=0.005,0,ROUND(J182*Inputs!$B$8,2))</f>
        <v/>
      </c>
      <c r="L182" s="13">
        <f>IF(J182&lt;=0.005,0,MIN(Inputs!$B$7,J182+K182))</f>
        <v/>
      </c>
      <c r="M182" s="13">
        <f>L182-K182</f>
        <v/>
      </c>
      <c r="N182" s="13">
        <f>IF(J182&lt;=0.005,0,MIN(H182,J182-M182))</f>
        <v/>
      </c>
      <c r="O182" s="13">
        <f>ROUND(J182-M182-N182,2)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AMORTIZATION SCHEDULE — Loan B</t>
        </is>
      </c>
      <c r="D1" s="9" t="inlineStr">
        <is>
          <t>(C-G: baseline, no prepayment   |   H: type any extra payment   |   J-P: your plan)</t>
        </is>
      </c>
    </row>
    <row r="2">
      <c r="A2" s="10" t="inlineStr">
        <is>
          <t>Month</t>
        </is>
      </c>
      <c r="B2" s="10" t="inlineStr">
        <is>
          <t>Date</t>
        </is>
      </c>
      <c r="C2" s="10" t="inlineStr">
        <is>
          <t>Opening</t>
        </is>
      </c>
      <c r="D2" s="10" t="inlineStr">
        <is>
          <t>Interest</t>
        </is>
      </c>
      <c r="E2" s="10" t="inlineStr">
        <is>
          <t>EMI</t>
        </is>
      </c>
      <c r="F2" s="10" t="inlineStr">
        <is>
          <t>Principal</t>
        </is>
      </c>
      <c r="G2" s="10" t="inlineStr">
        <is>
          <t>Closing</t>
        </is>
      </c>
      <c r="H2" s="10" t="inlineStr">
        <is>
          <t>PREPAY (edit)</t>
        </is>
      </c>
      <c r="I2" s="10" t="inlineStr">
        <is>
          <t>Rule check</t>
        </is>
      </c>
      <c r="J2" s="10" t="inlineStr">
        <is>
          <t>Opening</t>
        </is>
      </c>
      <c r="K2" s="10" t="inlineStr">
        <is>
          <t>Interest</t>
        </is>
      </c>
      <c r="L2" s="10" t="inlineStr">
        <is>
          <t>EMI</t>
        </is>
      </c>
      <c r="M2" s="10" t="inlineStr">
        <is>
          <t>Principal</t>
        </is>
      </c>
      <c r="N2" s="10" t="inlineStr">
        <is>
          <t>Prepay</t>
        </is>
      </c>
      <c r="O2" s="10" t="inlineStr">
        <is>
          <t>Closing</t>
        </is>
      </c>
    </row>
    <row r="3">
      <c r="A3" s="11" t="n">
        <v>1</v>
      </c>
      <c r="B3" s="12">
        <f>EDATE(Inputs!$C$6,A3-1)</f>
        <v/>
      </c>
      <c r="C3" s="13">
        <f>Inputs!$C$3</f>
        <v/>
      </c>
      <c r="D3" s="13">
        <f>IF(C3&lt;=0.005,0,ROUND(C3*Inputs!$C$8,2))</f>
        <v/>
      </c>
      <c r="E3" s="13">
        <f>IF(C3&lt;=0.005,0,MIN(Inputs!$C$7,C3+D3))</f>
        <v/>
      </c>
      <c r="F3" s="13">
        <f>E3-D3</f>
        <v/>
      </c>
      <c r="G3" s="13">
        <f>ROUND(C3-F3,2)</f>
        <v/>
      </c>
      <c r="H3" s="14" t="n">
        <v>0</v>
      </c>
      <c r="I3" s="11">
        <f>IF(H3=0,"",IF(A3&lt;2,"X not before month 2",IF(H3&lt;MAX(5000,Inputs!$C$7),"X below min",IF(H3&gt;MIN(5000000,0.75*J3),"X above max","OK"))))</f>
        <v/>
      </c>
      <c r="J3" s="13">
        <f>Inputs!$C$3</f>
        <v/>
      </c>
      <c r="K3" s="13">
        <f>IF(J3&lt;=0.005,0,ROUND(J3*Inputs!$C$8,2))</f>
        <v/>
      </c>
      <c r="L3" s="13">
        <f>IF(J3&lt;=0.005,0,MIN(Inputs!$C$7,J3+K3))</f>
        <v/>
      </c>
      <c r="M3" s="13">
        <f>L3-K3</f>
        <v/>
      </c>
      <c r="N3" s="13">
        <f>IF(J3&lt;=0.005,0,MIN(H3,J3-M3))</f>
        <v/>
      </c>
      <c r="O3" s="13">
        <f>ROUND(J3-M3-N3,2)</f>
        <v/>
      </c>
    </row>
    <row r="4">
      <c r="A4" s="11" t="n">
        <v>2</v>
      </c>
      <c r="B4" s="12">
        <f>EDATE(Inputs!$C$6,A4-1)</f>
        <v/>
      </c>
      <c r="C4" s="13">
        <f>G3</f>
        <v/>
      </c>
      <c r="D4" s="13">
        <f>IF(C4&lt;=0.005,0,ROUND(C4*Inputs!$C$8,2))</f>
        <v/>
      </c>
      <c r="E4" s="13">
        <f>IF(C4&lt;=0.005,0,MIN(Inputs!$C$7,C4+D4))</f>
        <v/>
      </c>
      <c r="F4" s="13">
        <f>E4-D4</f>
        <v/>
      </c>
      <c r="G4" s="13">
        <f>ROUND(C4-F4,2)</f>
        <v/>
      </c>
      <c r="H4" s="14" t="n">
        <v>0</v>
      </c>
      <c r="I4" s="11">
        <f>IF(H4=0,"",IF(A4&lt;2,"X not before month 2",IF(H4&lt;MAX(5000,Inputs!$C$7),"X below min",IF(H4&gt;MIN(5000000,0.75*J4),"X above max","OK"))))</f>
        <v/>
      </c>
      <c r="J4" s="13">
        <f>O3</f>
        <v/>
      </c>
      <c r="K4" s="13">
        <f>IF(J4&lt;=0.005,0,ROUND(J4*Inputs!$C$8,2))</f>
        <v/>
      </c>
      <c r="L4" s="13">
        <f>IF(J4&lt;=0.005,0,MIN(Inputs!$C$7,J4+K4))</f>
        <v/>
      </c>
      <c r="M4" s="13">
        <f>L4-K4</f>
        <v/>
      </c>
      <c r="N4" s="13">
        <f>IF(J4&lt;=0.005,0,MIN(H4,J4-M4))</f>
        <v/>
      </c>
      <c r="O4" s="13">
        <f>ROUND(J4-M4-N4,2)</f>
        <v/>
      </c>
    </row>
    <row r="5">
      <c r="A5" s="11" t="n">
        <v>3</v>
      </c>
      <c r="B5" s="12">
        <f>EDATE(Inputs!$C$6,A5-1)</f>
        <v/>
      </c>
      <c r="C5" s="13">
        <f>G4</f>
        <v/>
      </c>
      <c r="D5" s="13">
        <f>IF(C5&lt;=0.005,0,ROUND(C5*Inputs!$C$8,2))</f>
        <v/>
      </c>
      <c r="E5" s="13">
        <f>IF(C5&lt;=0.005,0,MIN(Inputs!$C$7,C5+D5))</f>
        <v/>
      </c>
      <c r="F5" s="13">
        <f>E5-D5</f>
        <v/>
      </c>
      <c r="G5" s="13">
        <f>ROUND(C5-F5,2)</f>
        <v/>
      </c>
      <c r="H5" s="14" t="n">
        <v>0</v>
      </c>
      <c r="I5" s="11">
        <f>IF(H5=0,"",IF(A5&lt;2,"X not before month 2",IF(H5&lt;MAX(5000,Inputs!$C$7),"X below min",IF(H5&gt;MIN(5000000,0.75*J5),"X above max","OK"))))</f>
        <v/>
      </c>
      <c r="J5" s="13">
        <f>O4</f>
        <v/>
      </c>
      <c r="K5" s="13">
        <f>IF(J5&lt;=0.005,0,ROUND(J5*Inputs!$C$8,2))</f>
        <v/>
      </c>
      <c r="L5" s="13">
        <f>IF(J5&lt;=0.005,0,MIN(Inputs!$C$7,J5+K5))</f>
        <v/>
      </c>
      <c r="M5" s="13">
        <f>L5-K5</f>
        <v/>
      </c>
      <c r="N5" s="13">
        <f>IF(J5&lt;=0.005,0,MIN(H5,J5-M5))</f>
        <v/>
      </c>
      <c r="O5" s="13">
        <f>ROUND(J5-M5-N5,2)</f>
        <v/>
      </c>
    </row>
    <row r="6">
      <c r="A6" s="11" t="n">
        <v>4</v>
      </c>
      <c r="B6" s="12">
        <f>EDATE(Inputs!$C$6,A6-1)</f>
        <v/>
      </c>
      <c r="C6" s="13">
        <f>G5</f>
        <v/>
      </c>
      <c r="D6" s="13">
        <f>IF(C6&lt;=0.005,0,ROUND(C6*Inputs!$C$8,2))</f>
        <v/>
      </c>
      <c r="E6" s="13">
        <f>IF(C6&lt;=0.005,0,MIN(Inputs!$C$7,C6+D6))</f>
        <v/>
      </c>
      <c r="F6" s="13">
        <f>E6-D6</f>
        <v/>
      </c>
      <c r="G6" s="13">
        <f>ROUND(C6-F6,2)</f>
        <v/>
      </c>
      <c r="H6" s="14" t="n">
        <v>0</v>
      </c>
      <c r="I6" s="11">
        <f>IF(H6=0,"",IF(A6&lt;2,"X not before month 2",IF(H6&lt;MAX(5000,Inputs!$C$7),"X below min",IF(H6&gt;MIN(5000000,0.75*J6),"X above max","OK"))))</f>
        <v/>
      </c>
      <c r="J6" s="13">
        <f>O5</f>
        <v/>
      </c>
      <c r="K6" s="13">
        <f>IF(J6&lt;=0.005,0,ROUND(J6*Inputs!$C$8,2))</f>
        <v/>
      </c>
      <c r="L6" s="13">
        <f>IF(J6&lt;=0.005,0,MIN(Inputs!$C$7,J6+K6))</f>
        <v/>
      </c>
      <c r="M6" s="13">
        <f>L6-K6</f>
        <v/>
      </c>
      <c r="N6" s="13">
        <f>IF(J6&lt;=0.005,0,MIN(H6,J6-M6))</f>
        <v/>
      </c>
      <c r="O6" s="13">
        <f>ROUND(J6-M6-N6,2)</f>
        <v/>
      </c>
    </row>
    <row r="7">
      <c r="A7" s="11" t="n">
        <v>5</v>
      </c>
      <c r="B7" s="12">
        <f>EDATE(Inputs!$C$6,A7-1)</f>
        <v/>
      </c>
      <c r="C7" s="13">
        <f>G6</f>
        <v/>
      </c>
      <c r="D7" s="13">
        <f>IF(C7&lt;=0.005,0,ROUND(C7*Inputs!$C$8,2))</f>
        <v/>
      </c>
      <c r="E7" s="13">
        <f>IF(C7&lt;=0.005,0,MIN(Inputs!$C$7,C7+D7))</f>
        <v/>
      </c>
      <c r="F7" s="13">
        <f>E7-D7</f>
        <v/>
      </c>
      <c r="G7" s="13">
        <f>ROUND(C7-F7,2)</f>
        <v/>
      </c>
      <c r="H7" s="14" t="n">
        <v>0</v>
      </c>
      <c r="I7" s="11">
        <f>IF(H7=0,"",IF(A7&lt;2,"X not before month 2",IF(H7&lt;MAX(5000,Inputs!$C$7),"X below min",IF(H7&gt;MIN(5000000,0.75*J7),"X above max","OK"))))</f>
        <v/>
      </c>
      <c r="J7" s="13">
        <f>O6</f>
        <v/>
      </c>
      <c r="K7" s="13">
        <f>IF(J7&lt;=0.005,0,ROUND(J7*Inputs!$C$8,2))</f>
        <v/>
      </c>
      <c r="L7" s="13">
        <f>IF(J7&lt;=0.005,0,MIN(Inputs!$C$7,J7+K7))</f>
        <v/>
      </c>
      <c r="M7" s="13">
        <f>L7-K7</f>
        <v/>
      </c>
      <c r="N7" s="13">
        <f>IF(J7&lt;=0.005,0,MIN(H7,J7-M7))</f>
        <v/>
      </c>
      <c r="O7" s="13">
        <f>ROUND(J7-M7-N7,2)</f>
        <v/>
      </c>
    </row>
    <row r="8">
      <c r="A8" s="11" t="n">
        <v>6</v>
      </c>
      <c r="B8" s="12">
        <f>EDATE(Inputs!$C$6,A8-1)</f>
        <v/>
      </c>
      <c r="C8" s="13">
        <f>G7</f>
        <v/>
      </c>
      <c r="D8" s="13">
        <f>IF(C8&lt;=0.005,0,ROUND(C8*Inputs!$C$8,2))</f>
        <v/>
      </c>
      <c r="E8" s="13">
        <f>IF(C8&lt;=0.005,0,MIN(Inputs!$C$7,C8+D8))</f>
        <v/>
      </c>
      <c r="F8" s="13">
        <f>E8-D8</f>
        <v/>
      </c>
      <c r="G8" s="13">
        <f>ROUND(C8-F8,2)</f>
        <v/>
      </c>
      <c r="H8" s="14" t="n">
        <v>0</v>
      </c>
      <c r="I8" s="11">
        <f>IF(H8=0,"",IF(A8&lt;2,"X not before month 2",IF(H8&lt;MAX(5000,Inputs!$C$7),"X below min",IF(H8&gt;MIN(5000000,0.75*J8),"X above max","OK"))))</f>
        <v/>
      </c>
      <c r="J8" s="13">
        <f>O7</f>
        <v/>
      </c>
      <c r="K8" s="13">
        <f>IF(J8&lt;=0.005,0,ROUND(J8*Inputs!$C$8,2))</f>
        <v/>
      </c>
      <c r="L8" s="13">
        <f>IF(J8&lt;=0.005,0,MIN(Inputs!$C$7,J8+K8))</f>
        <v/>
      </c>
      <c r="M8" s="13">
        <f>L8-K8</f>
        <v/>
      </c>
      <c r="N8" s="13">
        <f>IF(J8&lt;=0.005,0,MIN(H8,J8-M8))</f>
        <v/>
      </c>
      <c r="O8" s="13">
        <f>ROUND(J8-M8-N8,2)</f>
        <v/>
      </c>
    </row>
    <row r="9">
      <c r="A9" s="11" t="n">
        <v>7</v>
      </c>
      <c r="B9" s="12">
        <f>EDATE(Inputs!$C$6,A9-1)</f>
        <v/>
      </c>
      <c r="C9" s="13">
        <f>G8</f>
        <v/>
      </c>
      <c r="D9" s="13">
        <f>IF(C9&lt;=0.005,0,ROUND(C9*Inputs!$C$8,2))</f>
        <v/>
      </c>
      <c r="E9" s="13">
        <f>IF(C9&lt;=0.005,0,MIN(Inputs!$C$7,C9+D9))</f>
        <v/>
      </c>
      <c r="F9" s="13">
        <f>E9-D9</f>
        <v/>
      </c>
      <c r="G9" s="13">
        <f>ROUND(C9-F9,2)</f>
        <v/>
      </c>
      <c r="H9" s="14" t="n">
        <v>0</v>
      </c>
      <c r="I9" s="11">
        <f>IF(H9=0,"",IF(A9&lt;2,"X not before month 2",IF(H9&lt;MAX(5000,Inputs!$C$7),"X below min",IF(H9&gt;MIN(5000000,0.75*J9),"X above max","OK"))))</f>
        <v/>
      </c>
      <c r="J9" s="13">
        <f>O8</f>
        <v/>
      </c>
      <c r="K9" s="13">
        <f>IF(J9&lt;=0.005,0,ROUND(J9*Inputs!$C$8,2))</f>
        <v/>
      </c>
      <c r="L9" s="13">
        <f>IF(J9&lt;=0.005,0,MIN(Inputs!$C$7,J9+K9))</f>
        <v/>
      </c>
      <c r="M9" s="13">
        <f>L9-K9</f>
        <v/>
      </c>
      <c r="N9" s="13">
        <f>IF(J9&lt;=0.005,0,MIN(H9,J9-M9))</f>
        <v/>
      </c>
      <c r="O9" s="13">
        <f>ROUND(J9-M9-N9,2)</f>
        <v/>
      </c>
    </row>
    <row r="10">
      <c r="A10" s="11" t="n">
        <v>8</v>
      </c>
      <c r="B10" s="12">
        <f>EDATE(Inputs!$C$6,A10-1)</f>
        <v/>
      </c>
      <c r="C10" s="13">
        <f>G9</f>
        <v/>
      </c>
      <c r="D10" s="13">
        <f>IF(C10&lt;=0.005,0,ROUND(C10*Inputs!$C$8,2))</f>
        <v/>
      </c>
      <c r="E10" s="13">
        <f>IF(C10&lt;=0.005,0,MIN(Inputs!$C$7,C10+D10))</f>
        <v/>
      </c>
      <c r="F10" s="13">
        <f>E10-D10</f>
        <v/>
      </c>
      <c r="G10" s="13">
        <f>ROUND(C10-F10,2)</f>
        <v/>
      </c>
      <c r="H10" s="14" t="n">
        <v>0</v>
      </c>
      <c r="I10" s="11">
        <f>IF(H10=0,"",IF(A10&lt;2,"X not before month 2",IF(H10&lt;MAX(5000,Inputs!$C$7),"X below min",IF(H10&gt;MIN(5000000,0.75*J10),"X above max","OK"))))</f>
        <v/>
      </c>
      <c r="J10" s="13">
        <f>O9</f>
        <v/>
      </c>
      <c r="K10" s="13">
        <f>IF(J10&lt;=0.005,0,ROUND(J10*Inputs!$C$8,2))</f>
        <v/>
      </c>
      <c r="L10" s="13">
        <f>IF(J10&lt;=0.005,0,MIN(Inputs!$C$7,J10+K10))</f>
        <v/>
      </c>
      <c r="M10" s="13">
        <f>L10-K10</f>
        <v/>
      </c>
      <c r="N10" s="13">
        <f>IF(J10&lt;=0.005,0,MIN(H10,J10-M10))</f>
        <v/>
      </c>
      <c r="O10" s="13">
        <f>ROUND(J10-M10-N10,2)</f>
        <v/>
      </c>
    </row>
    <row r="11">
      <c r="A11" s="11" t="n">
        <v>9</v>
      </c>
      <c r="B11" s="12">
        <f>EDATE(Inputs!$C$6,A11-1)</f>
        <v/>
      </c>
      <c r="C11" s="13">
        <f>G10</f>
        <v/>
      </c>
      <c r="D11" s="13">
        <f>IF(C11&lt;=0.005,0,ROUND(C11*Inputs!$C$8,2))</f>
        <v/>
      </c>
      <c r="E11" s="13">
        <f>IF(C11&lt;=0.005,0,MIN(Inputs!$C$7,C11+D11))</f>
        <v/>
      </c>
      <c r="F11" s="13">
        <f>E11-D11</f>
        <v/>
      </c>
      <c r="G11" s="13">
        <f>ROUND(C11-F11,2)</f>
        <v/>
      </c>
      <c r="H11" s="14" t="n">
        <v>0</v>
      </c>
      <c r="I11" s="11">
        <f>IF(H11=0,"",IF(A11&lt;2,"X not before month 2",IF(H11&lt;MAX(5000,Inputs!$C$7),"X below min",IF(H11&gt;MIN(5000000,0.75*J11),"X above max","OK"))))</f>
        <v/>
      </c>
      <c r="J11" s="13">
        <f>O10</f>
        <v/>
      </c>
      <c r="K11" s="13">
        <f>IF(J11&lt;=0.005,0,ROUND(J11*Inputs!$C$8,2))</f>
        <v/>
      </c>
      <c r="L11" s="13">
        <f>IF(J11&lt;=0.005,0,MIN(Inputs!$C$7,J11+K11))</f>
        <v/>
      </c>
      <c r="M11" s="13">
        <f>L11-K11</f>
        <v/>
      </c>
      <c r="N11" s="13">
        <f>IF(J11&lt;=0.005,0,MIN(H11,J11-M11))</f>
        <v/>
      </c>
      <c r="O11" s="13">
        <f>ROUND(J11-M11-N11,2)</f>
        <v/>
      </c>
    </row>
    <row r="12">
      <c r="A12" s="11" t="n">
        <v>10</v>
      </c>
      <c r="B12" s="12">
        <f>EDATE(Inputs!$C$6,A12-1)</f>
        <v/>
      </c>
      <c r="C12" s="13">
        <f>G11</f>
        <v/>
      </c>
      <c r="D12" s="13">
        <f>IF(C12&lt;=0.005,0,ROUND(C12*Inputs!$C$8,2))</f>
        <v/>
      </c>
      <c r="E12" s="13">
        <f>IF(C12&lt;=0.005,0,MIN(Inputs!$C$7,C12+D12))</f>
        <v/>
      </c>
      <c r="F12" s="13">
        <f>E12-D12</f>
        <v/>
      </c>
      <c r="G12" s="13">
        <f>ROUND(C12-F12,2)</f>
        <v/>
      </c>
      <c r="H12" s="14" t="n">
        <v>0</v>
      </c>
      <c r="I12" s="11">
        <f>IF(H12=0,"",IF(A12&lt;2,"X not before month 2",IF(H12&lt;MAX(5000,Inputs!$C$7),"X below min",IF(H12&gt;MIN(5000000,0.75*J12),"X above max","OK"))))</f>
        <v/>
      </c>
      <c r="J12" s="13">
        <f>O11</f>
        <v/>
      </c>
      <c r="K12" s="13">
        <f>IF(J12&lt;=0.005,0,ROUND(J12*Inputs!$C$8,2))</f>
        <v/>
      </c>
      <c r="L12" s="13">
        <f>IF(J12&lt;=0.005,0,MIN(Inputs!$C$7,J12+K12))</f>
        <v/>
      </c>
      <c r="M12" s="13">
        <f>L12-K12</f>
        <v/>
      </c>
      <c r="N12" s="13">
        <f>IF(J12&lt;=0.005,0,MIN(H12,J12-M12))</f>
        <v/>
      </c>
      <c r="O12" s="13">
        <f>ROUND(J12-M12-N12,2)</f>
        <v/>
      </c>
    </row>
    <row r="13">
      <c r="A13" s="11" t="n">
        <v>11</v>
      </c>
      <c r="B13" s="12">
        <f>EDATE(Inputs!$C$6,A13-1)</f>
        <v/>
      </c>
      <c r="C13" s="13">
        <f>G12</f>
        <v/>
      </c>
      <c r="D13" s="13">
        <f>IF(C13&lt;=0.005,0,ROUND(C13*Inputs!$C$8,2))</f>
        <v/>
      </c>
      <c r="E13" s="13">
        <f>IF(C13&lt;=0.005,0,MIN(Inputs!$C$7,C13+D13))</f>
        <v/>
      </c>
      <c r="F13" s="13">
        <f>E13-D13</f>
        <v/>
      </c>
      <c r="G13" s="13">
        <f>ROUND(C13-F13,2)</f>
        <v/>
      </c>
      <c r="H13" s="14" t="n">
        <v>0</v>
      </c>
      <c r="I13" s="11">
        <f>IF(H13=0,"",IF(A13&lt;2,"X not before month 2",IF(H13&lt;MAX(5000,Inputs!$C$7),"X below min",IF(H13&gt;MIN(5000000,0.75*J13),"X above max","OK"))))</f>
        <v/>
      </c>
      <c r="J13" s="13">
        <f>O12</f>
        <v/>
      </c>
      <c r="K13" s="13">
        <f>IF(J13&lt;=0.005,0,ROUND(J13*Inputs!$C$8,2))</f>
        <v/>
      </c>
      <c r="L13" s="13">
        <f>IF(J13&lt;=0.005,0,MIN(Inputs!$C$7,J13+K13))</f>
        <v/>
      </c>
      <c r="M13" s="13">
        <f>L13-K13</f>
        <v/>
      </c>
      <c r="N13" s="13">
        <f>IF(J13&lt;=0.005,0,MIN(H13,J13-M13))</f>
        <v/>
      </c>
      <c r="O13" s="13">
        <f>ROUND(J13-M13-N13,2)</f>
        <v/>
      </c>
    </row>
    <row r="14">
      <c r="A14" s="11" t="n">
        <v>12</v>
      </c>
      <c r="B14" s="12">
        <f>EDATE(Inputs!$C$6,A14-1)</f>
        <v/>
      </c>
      <c r="C14" s="13">
        <f>G13</f>
        <v/>
      </c>
      <c r="D14" s="13">
        <f>IF(C14&lt;=0.005,0,ROUND(C14*Inputs!$C$8,2))</f>
        <v/>
      </c>
      <c r="E14" s="13">
        <f>IF(C14&lt;=0.005,0,MIN(Inputs!$C$7,C14+D14))</f>
        <v/>
      </c>
      <c r="F14" s="13">
        <f>E14-D14</f>
        <v/>
      </c>
      <c r="G14" s="13">
        <f>ROUND(C14-F14,2)</f>
        <v/>
      </c>
      <c r="H14" s="14" t="n">
        <v>0</v>
      </c>
      <c r="I14" s="11">
        <f>IF(H14=0,"",IF(A14&lt;2,"X not before month 2",IF(H14&lt;MAX(5000,Inputs!$C$7),"X below min",IF(H14&gt;MIN(5000000,0.75*J14),"X above max","OK"))))</f>
        <v/>
      </c>
      <c r="J14" s="13">
        <f>O13</f>
        <v/>
      </c>
      <c r="K14" s="13">
        <f>IF(J14&lt;=0.005,0,ROUND(J14*Inputs!$C$8,2))</f>
        <v/>
      </c>
      <c r="L14" s="13">
        <f>IF(J14&lt;=0.005,0,MIN(Inputs!$C$7,J14+K14))</f>
        <v/>
      </c>
      <c r="M14" s="13">
        <f>L14-K14</f>
        <v/>
      </c>
      <c r="N14" s="13">
        <f>IF(J14&lt;=0.005,0,MIN(H14,J14-M14))</f>
        <v/>
      </c>
      <c r="O14" s="13">
        <f>ROUND(J14-M14-N14,2)</f>
        <v/>
      </c>
    </row>
    <row r="15">
      <c r="A15" s="11" t="n">
        <v>13</v>
      </c>
      <c r="B15" s="12">
        <f>EDATE(Inputs!$C$6,A15-1)</f>
        <v/>
      </c>
      <c r="C15" s="13">
        <f>G14</f>
        <v/>
      </c>
      <c r="D15" s="13">
        <f>IF(C15&lt;=0.005,0,ROUND(C15*Inputs!$C$8,2))</f>
        <v/>
      </c>
      <c r="E15" s="13">
        <f>IF(C15&lt;=0.005,0,MIN(Inputs!$C$7,C15+D15))</f>
        <v/>
      </c>
      <c r="F15" s="13">
        <f>E15-D15</f>
        <v/>
      </c>
      <c r="G15" s="13">
        <f>ROUND(C15-F15,2)</f>
        <v/>
      </c>
      <c r="H15" s="14" t="n">
        <v>0</v>
      </c>
      <c r="I15" s="11">
        <f>IF(H15=0,"",IF(A15&lt;2,"X not before month 2",IF(H15&lt;MAX(5000,Inputs!$C$7),"X below min",IF(H15&gt;MIN(5000000,0.75*J15),"X above max","OK"))))</f>
        <v/>
      </c>
      <c r="J15" s="13">
        <f>O14</f>
        <v/>
      </c>
      <c r="K15" s="13">
        <f>IF(J15&lt;=0.005,0,ROUND(J15*Inputs!$C$8,2))</f>
        <v/>
      </c>
      <c r="L15" s="13">
        <f>IF(J15&lt;=0.005,0,MIN(Inputs!$C$7,J15+K15))</f>
        <v/>
      </c>
      <c r="M15" s="13">
        <f>L15-K15</f>
        <v/>
      </c>
      <c r="N15" s="13">
        <f>IF(J15&lt;=0.005,0,MIN(H15,J15-M15))</f>
        <v/>
      </c>
      <c r="O15" s="13">
        <f>ROUND(J15-M15-N15,2)</f>
        <v/>
      </c>
    </row>
    <row r="16">
      <c r="A16" s="11" t="n">
        <v>14</v>
      </c>
      <c r="B16" s="12">
        <f>EDATE(Inputs!$C$6,A16-1)</f>
        <v/>
      </c>
      <c r="C16" s="13">
        <f>G15</f>
        <v/>
      </c>
      <c r="D16" s="13">
        <f>IF(C16&lt;=0.005,0,ROUND(C16*Inputs!$C$8,2))</f>
        <v/>
      </c>
      <c r="E16" s="13">
        <f>IF(C16&lt;=0.005,0,MIN(Inputs!$C$7,C16+D16))</f>
        <v/>
      </c>
      <c r="F16" s="13">
        <f>E16-D16</f>
        <v/>
      </c>
      <c r="G16" s="13">
        <f>ROUND(C16-F16,2)</f>
        <v/>
      </c>
      <c r="H16" s="14" t="n">
        <v>0</v>
      </c>
      <c r="I16" s="11">
        <f>IF(H16=0,"",IF(A16&lt;2,"X not before month 2",IF(H16&lt;MAX(5000,Inputs!$C$7),"X below min",IF(H16&gt;MIN(5000000,0.75*J16),"X above max","OK"))))</f>
        <v/>
      </c>
      <c r="J16" s="13">
        <f>O15</f>
        <v/>
      </c>
      <c r="K16" s="13">
        <f>IF(J16&lt;=0.005,0,ROUND(J16*Inputs!$C$8,2))</f>
        <v/>
      </c>
      <c r="L16" s="13">
        <f>IF(J16&lt;=0.005,0,MIN(Inputs!$C$7,J16+K16))</f>
        <v/>
      </c>
      <c r="M16" s="13">
        <f>L16-K16</f>
        <v/>
      </c>
      <c r="N16" s="13">
        <f>IF(J16&lt;=0.005,0,MIN(H16,J16-M16))</f>
        <v/>
      </c>
      <c r="O16" s="13">
        <f>ROUND(J16-M16-N16,2)</f>
        <v/>
      </c>
    </row>
    <row r="17">
      <c r="A17" s="11" t="n">
        <v>15</v>
      </c>
      <c r="B17" s="12">
        <f>EDATE(Inputs!$C$6,A17-1)</f>
        <v/>
      </c>
      <c r="C17" s="13">
        <f>G16</f>
        <v/>
      </c>
      <c r="D17" s="13">
        <f>IF(C17&lt;=0.005,0,ROUND(C17*Inputs!$C$8,2))</f>
        <v/>
      </c>
      <c r="E17" s="13">
        <f>IF(C17&lt;=0.005,0,MIN(Inputs!$C$7,C17+D17))</f>
        <v/>
      </c>
      <c r="F17" s="13">
        <f>E17-D17</f>
        <v/>
      </c>
      <c r="G17" s="13">
        <f>ROUND(C17-F17,2)</f>
        <v/>
      </c>
      <c r="H17" s="14" t="n">
        <v>0</v>
      </c>
      <c r="I17" s="11">
        <f>IF(H17=0,"",IF(A17&lt;2,"X not before month 2",IF(H17&lt;MAX(5000,Inputs!$C$7),"X below min",IF(H17&gt;MIN(5000000,0.75*J17),"X above max","OK"))))</f>
        <v/>
      </c>
      <c r="J17" s="13">
        <f>O16</f>
        <v/>
      </c>
      <c r="K17" s="13">
        <f>IF(J17&lt;=0.005,0,ROUND(J17*Inputs!$C$8,2))</f>
        <v/>
      </c>
      <c r="L17" s="13">
        <f>IF(J17&lt;=0.005,0,MIN(Inputs!$C$7,J17+K17))</f>
        <v/>
      </c>
      <c r="M17" s="13">
        <f>L17-K17</f>
        <v/>
      </c>
      <c r="N17" s="13">
        <f>IF(J17&lt;=0.005,0,MIN(H17,J17-M17))</f>
        <v/>
      </c>
      <c r="O17" s="13">
        <f>ROUND(J17-M17-N17,2)</f>
        <v/>
      </c>
    </row>
    <row r="18">
      <c r="A18" s="11" t="n">
        <v>16</v>
      </c>
      <c r="B18" s="12">
        <f>EDATE(Inputs!$C$6,A18-1)</f>
        <v/>
      </c>
      <c r="C18" s="13">
        <f>G17</f>
        <v/>
      </c>
      <c r="D18" s="13">
        <f>IF(C18&lt;=0.005,0,ROUND(C18*Inputs!$C$8,2))</f>
        <v/>
      </c>
      <c r="E18" s="13">
        <f>IF(C18&lt;=0.005,0,MIN(Inputs!$C$7,C18+D18))</f>
        <v/>
      </c>
      <c r="F18" s="13">
        <f>E18-D18</f>
        <v/>
      </c>
      <c r="G18" s="13">
        <f>ROUND(C18-F18,2)</f>
        <v/>
      </c>
      <c r="H18" s="14" t="n">
        <v>0</v>
      </c>
      <c r="I18" s="11">
        <f>IF(H18=0,"",IF(A18&lt;2,"X not before month 2",IF(H18&lt;MAX(5000,Inputs!$C$7),"X below min",IF(H18&gt;MIN(5000000,0.75*J18),"X above max","OK"))))</f>
        <v/>
      </c>
      <c r="J18" s="13">
        <f>O17</f>
        <v/>
      </c>
      <c r="K18" s="13">
        <f>IF(J18&lt;=0.005,0,ROUND(J18*Inputs!$C$8,2))</f>
        <v/>
      </c>
      <c r="L18" s="13">
        <f>IF(J18&lt;=0.005,0,MIN(Inputs!$C$7,J18+K18))</f>
        <v/>
      </c>
      <c r="M18" s="13">
        <f>L18-K18</f>
        <v/>
      </c>
      <c r="N18" s="13">
        <f>IF(J18&lt;=0.005,0,MIN(H18,J18-M18))</f>
        <v/>
      </c>
      <c r="O18" s="13">
        <f>ROUND(J18-M18-N18,2)</f>
        <v/>
      </c>
    </row>
    <row r="19">
      <c r="A19" s="11" t="n">
        <v>17</v>
      </c>
      <c r="B19" s="12">
        <f>EDATE(Inputs!$C$6,A19-1)</f>
        <v/>
      </c>
      <c r="C19" s="13">
        <f>G18</f>
        <v/>
      </c>
      <c r="D19" s="13">
        <f>IF(C19&lt;=0.005,0,ROUND(C19*Inputs!$C$8,2))</f>
        <v/>
      </c>
      <c r="E19" s="13">
        <f>IF(C19&lt;=0.005,0,MIN(Inputs!$C$7,C19+D19))</f>
        <v/>
      </c>
      <c r="F19" s="13">
        <f>E19-D19</f>
        <v/>
      </c>
      <c r="G19" s="13">
        <f>ROUND(C19-F19,2)</f>
        <v/>
      </c>
      <c r="H19" s="14" t="n">
        <v>0</v>
      </c>
      <c r="I19" s="11">
        <f>IF(H19=0,"",IF(A19&lt;2,"X not before month 2",IF(H19&lt;MAX(5000,Inputs!$C$7),"X below min",IF(H19&gt;MIN(5000000,0.75*J19),"X above max","OK"))))</f>
        <v/>
      </c>
      <c r="J19" s="13">
        <f>O18</f>
        <v/>
      </c>
      <c r="K19" s="13">
        <f>IF(J19&lt;=0.005,0,ROUND(J19*Inputs!$C$8,2))</f>
        <v/>
      </c>
      <c r="L19" s="13">
        <f>IF(J19&lt;=0.005,0,MIN(Inputs!$C$7,J19+K19))</f>
        <v/>
      </c>
      <c r="M19" s="13">
        <f>L19-K19</f>
        <v/>
      </c>
      <c r="N19" s="13">
        <f>IF(J19&lt;=0.005,0,MIN(H19,J19-M19))</f>
        <v/>
      </c>
      <c r="O19" s="13">
        <f>ROUND(J19-M19-N19,2)</f>
        <v/>
      </c>
    </row>
    <row r="20">
      <c r="A20" s="11" t="n">
        <v>18</v>
      </c>
      <c r="B20" s="12">
        <f>EDATE(Inputs!$C$6,A20-1)</f>
        <v/>
      </c>
      <c r="C20" s="13">
        <f>G19</f>
        <v/>
      </c>
      <c r="D20" s="13">
        <f>IF(C20&lt;=0.005,0,ROUND(C20*Inputs!$C$8,2))</f>
        <v/>
      </c>
      <c r="E20" s="13">
        <f>IF(C20&lt;=0.005,0,MIN(Inputs!$C$7,C20+D20))</f>
        <v/>
      </c>
      <c r="F20" s="13">
        <f>E20-D20</f>
        <v/>
      </c>
      <c r="G20" s="13">
        <f>ROUND(C20-F20,2)</f>
        <v/>
      </c>
      <c r="H20" s="14" t="n">
        <v>0</v>
      </c>
      <c r="I20" s="11">
        <f>IF(H20=0,"",IF(A20&lt;2,"X not before month 2",IF(H20&lt;MAX(5000,Inputs!$C$7),"X below min",IF(H20&gt;MIN(5000000,0.75*J20),"X above max","OK"))))</f>
        <v/>
      </c>
      <c r="J20" s="13">
        <f>O19</f>
        <v/>
      </c>
      <c r="K20" s="13">
        <f>IF(J20&lt;=0.005,0,ROUND(J20*Inputs!$C$8,2))</f>
        <v/>
      </c>
      <c r="L20" s="13">
        <f>IF(J20&lt;=0.005,0,MIN(Inputs!$C$7,J20+K20))</f>
        <v/>
      </c>
      <c r="M20" s="13">
        <f>L20-K20</f>
        <v/>
      </c>
      <c r="N20" s="13">
        <f>IF(J20&lt;=0.005,0,MIN(H20,J20-M20))</f>
        <v/>
      </c>
      <c r="O20" s="13">
        <f>ROUND(J20-M20-N20,2)</f>
        <v/>
      </c>
    </row>
    <row r="21">
      <c r="A21" s="11" t="n">
        <v>19</v>
      </c>
      <c r="B21" s="12">
        <f>EDATE(Inputs!$C$6,A21-1)</f>
        <v/>
      </c>
      <c r="C21" s="13">
        <f>G20</f>
        <v/>
      </c>
      <c r="D21" s="13">
        <f>IF(C21&lt;=0.005,0,ROUND(C21*Inputs!$C$8,2))</f>
        <v/>
      </c>
      <c r="E21" s="13">
        <f>IF(C21&lt;=0.005,0,MIN(Inputs!$C$7,C21+D21))</f>
        <v/>
      </c>
      <c r="F21" s="13">
        <f>E21-D21</f>
        <v/>
      </c>
      <c r="G21" s="13">
        <f>ROUND(C21-F21,2)</f>
        <v/>
      </c>
      <c r="H21" s="14" t="n">
        <v>0</v>
      </c>
      <c r="I21" s="11">
        <f>IF(H21=0,"",IF(A21&lt;2,"X not before month 2",IF(H21&lt;MAX(5000,Inputs!$C$7),"X below min",IF(H21&gt;MIN(5000000,0.75*J21),"X above max","OK"))))</f>
        <v/>
      </c>
      <c r="J21" s="13">
        <f>O20</f>
        <v/>
      </c>
      <c r="K21" s="13">
        <f>IF(J21&lt;=0.005,0,ROUND(J21*Inputs!$C$8,2))</f>
        <v/>
      </c>
      <c r="L21" s="13">
        <f>IF(J21&lt;=0.005,0,MIN(Inputs!$C$7,J21+K21))</f>
        <v/>
      </c>
      <c r="M21" s="13">
        <f>L21-K21</f>
        <v/>
      </c>
      <c r="N21" s="13">
        <f>IF(J21&lt;=0.005,0,MIN(H21,J21-M21))</f>
        <v/>
      </c>
      <c r="O21" s="13">
        <f>ROUND(J21-M21-N21,2)</f>
        <v/>
      </c>
    </row>
    <row r="22">
      <c r="A22" s="11" t="n">
        <v>20</v>
      </c>
      <c r="B22" s="12">
        <f>EDATE(Inputs!$C$6,A22-1)</f>
        <v/>
      </c>
      <c r="C22" s="13">
        <f>G21</f>
        <v/>
      </c>
      <c r="D22" s="13">
        <f>IF(C22&lt;=0.005,0,ROUND(C22*Inputs!$C$8,2))</f>
        <v/>
      </c>
      <c r="E22" s="13">
        <f>IF(C22&lt;=0.005,0,MIN(Inputs!$C$7,C22+D22))</f>
        <v/>
      </c>
      <c r="F22" s="13">
        <f>E22-D22</f>
        <v/>
      </c>
      <c r="G22" s="13">
        <f>ROUND(C22-F22,2)</f>
        <v/>
      </c>
      <c r="H22" s="14" t="n">
        <v>0</v>
      </c>
      <c r="I22" s="11">
        <f>IF(H22=0,"",IF(A22&lt;2,"X not before month 2",IF(H22&lt;MAX(5000,Inputs!$C$7),"X below min",IF(H22&gt;MIN(5000000,0.75*J22),"X above max","OK"))))</f>
        <v/>
      </c>
      <c r="J22" s="13">
        <f>O21</f>
        <v/>
      </c>
      <c r="K22" s="13">
        <f>IF(J22&lt;=0.005,0,ROUND(J22*Inputs!$C$8,2))</f>
        <v/>
      </c>
      <c r="L22" s="13">
        <f>IF(J22&lt;=0.005,0,MIN(Inputs!$C$7,J22+K22))</f>
        <v/>
      </c>
      <c r="M22" s="13">
        <f>L22-K22</f>
        <v/>
      </c>
      <c r="N22" s="13">
        <f>IF(J22&lt;=0.005,0,MIN(H22,J22-M22))</f>
        <v/>
      </c>
      <c r="O22" s="13">
        <f>ROUND(J22-M22-N22,2)</f>
        <v/>
      </c>
    </row>
    <row r="23">
      <c r="A23" s="11" t="n">
        <v>21</v>
      </c>
      <c r="B23" s="12">
        <f>EDATE(Inputs!$C$6,A23-1)</f>
        <v/>
      </c>
      <c r="C23" s="13">
        <f>G22</f>
        <v/>
      </c>
      <c r="D23" s="13">
        <f>IF(C23&lt;=0.005,0,ROUND(C23*Inputs!$C$8,2))</f>
        <v/>
      </c>
      <c r="E23" s="13">
        <f>IF(C23&lt;=0.005,0,MIN(Inputs!$C$7,C23+D23))</f>
        <v/>
      </c>
      <c r="F23" s="13">
        <f>E23-D23</f>
        <v/>
      </c>
      <c r="G23" s="13">
        <f>ROUND(C23-F23,2)</f>
        <v/>
      </c>
      <c r="H23" s="14" t="n">
        <v>0</v>
      </c>
      <c r="I23" s="11">
        <f>IF(H23=0,"",IF(A23&lt;2,"X not before month 2",IF(H23&lt;MAX(5000,Inputs!$C$7),"X below min",IF(H23&gt;MIN(5000000,0.75*J23),"X above max","OK"))))</f>
        <v/>
      </c>
      <c r="J23" s="13">
        <f>O22</f>
        <v/>
      </c>
      <c r="K23" s="13">
        <f>IF(J23&lt;=0.005,0,ROUND(J23*Inputs!$C$8,2))</f>
        <v/>
      </c>
      <c r="L23" s="13">
        <f>IF(J23&lt;=0.005,0,MIN(Inputs!$C$7,J23+K23))</f>
        <v/>
      </c>
      <c r="M23" s="13">
        <f>L23-K23</f>
        <v/>
      </c>
      <c r="N23" s="13">
        <f>IF(J23&lt;=0.005,0,MIN(H23,J23-M23))</f>
        <v/>
      </c>
      <c r="O23" s="13">
        <f>ROUND(J23-M23-N23,2)</f>
        <v/>
      </c>
    </row>
    <row r="24">
      <c r="A24" s="11" t="n">
        <v>22</v>
      </c>
      <c r="B24" s="12">
        <f>EDATE(Inputs!$C$6,A24-1)</f>
        <v/>
      </c>
      <c r="C24" s="13">
        <f>G23</f>
        <v/>
      </c>
      <c r="D24" s="13">
        <f>IF(C24&lt;=0.005,0,ROUND(C24*Inputs!$C$8,2))</f>
        <v/>
      </c>
      <c r="E24" s="13">
        <f>IF(C24&lt;=0.005,0,MIN(Inputs!$C$7,C24+D24))</f>
        <v/>
      </c>
      <c r="F24" s="13">
        <f>E24-D24</f>
        <v/>
      </c>
      <c r="G24" s="13">
        <f>ROUND(C24-F24,2)</f>
        <v/>
      </c>
      <c r="H24" s="14" t="n">
        <v>0</v>
      </c>
      <c r="I24" s="11">
        <f>IF(H24=0,"",IF(A24&lt;2,"X not before month 2",IF(H24&lt;MAX(5000,Inputs!$C$7),"X below min",IF(H24&gt;MIN(5000000,0.75*J24),"X above max","OK"))))</f>
        <v/>
      </c>
      <c r="J24" s="13">
        <f>O23</f>
        <v/>
      </c>
      <c r="K24" s="13">
        <f>IF(J24&lt;=0.005,0,ROUND(J24*Inputs!$C$8,2))</f>
        <v/>
      </c>
      <c r="L24" s="13">
        <f>IF(J24&lt;=0.005,0,MIN(Inputs!$C$7,J24+K24))</f>
        <v/>
      </c>
      <c r="M24" s="13">
        <f>L24-K24</f>
        <v/>
      </c>
      <c r="N24" s="13">
        <f>IF(J24&lt;=0.005,0,MIN(H24,J24-M24))</f>
        <v/>
      </c>
      <c r="O24" s="13">
        <f>ROUND(J24-M24-N24,2)</f>
        <v/>
      </c>
    </row>
    <row r="25">
      <c r="A25" s="11" t="n">
        <v>23</v>
      </c>
      <c r="B25" s="12">
        <f>EDATE(Inputs!$C$6,A25-1)</f>
        <v/>
      </c>
      <c r="C25" s="13">
        <f>G24</f>
        <v/>
      </c>
      <c r="D25" s="13">
        <f>IF(C25&lt;=0.005,0,ROUND(C25*Inputs!$C$8,2))</f>
        <v/>
      </c>
      <c r="E25" s="13">
        <f>IF(C25&lt;=0.005,0,MIN(Inputs!$C$7,C25+D25))</f>
        <v/>
      </c>
      <c r="F25" s="13">
        <f>E25-D25</f>
        <v/>
      </c>
      <c r="G25" s="13">
        <f>ROUND(C25-F25,2)</f>
        <v/>
      </c>
      <c r="H25" s="14" t="n">
        <v>0</v>
      </c>
      <c r="I25" s="11">
        <f>IF(H25=0,"",IF(A25&lt;2,"X not before month 2",IF(H25&lt;MAX(5000,Inputs!$C$7),"X below min",IF(H25&gt;MIN(5000000,0.75*J25),"X above max","OK"))))</f>
        <v/>
      </c>
      <c r="J25" s="13">
        <f>O24</f>
        <v/>
      </c>
      <c r="K25" s="13">
        <f>IF(J25&lt;=0.005,0,ROUND(J25*Inputs!$C$8,2))</f>
        <v/>
      </c>
      <c r="L25" s="13">
        <f>IF(J25&lt;=0.005,0,MIN(Inputs!$C$7,J25+K25))</f>
        <v/>
      </c>
      <c r="M25" s="13">
        <f>L25-K25</f>
        <v/>
      </c>
      <c r="N25" s="13">
        <f>IF(J25&lt;=0.005,0,MIN(H25,J25-M25))</f>
        <v/>
      </c>
      <c r="O25" s="13">
        <f>ROUND(J25-M25-N25,2)</f>
        <v/>
      </c>
    </row>
    <row r="26">
      <c r="A26" s="11" t="n">
        <v>24</v>
      </c>
      <c r="B26" s="12">
        <f>EDATE(Inputs!$C$6,A26-1)</f>
        <v/>
      </c>
      <c r="C26" s="13">
        <f>G25</f>
        <v/>
      </c>
      <c r="D26" s="13">
        <f>IF(C26&lt;=0.005,0,ROUND(C26*Inputs!$C$8,2))</f>
        <v/>
      </c>
      <c r="E26" s="13">
        <f>IF(C26&lt;=0.005,0,MIN(Inputs!$C$7,C26+D26))</f>
        <v/>
      </c>
      <c r="F26" s="13">
        <f>E26-D26</f>
        <v/>
      </c>
      <c r="G26" s="13">
        <f>ROUND(C26-F26,2)</f>
        <v/>
      </c>
      <c r="H26" s="14" t="n">
        <v>0</v>
      </c>
      <c r="I26" s="11">
        <f>IF(H26=0,"",IF(A26&lt;2,"X not before month 2",IF(H26&lt;MAX(5000,Inputs!$C$7),"X below min",IF(H26&gt;MIN(5000000,0.75*J26),"X above max","OK"))))</f>
        <v/>
      </c>
      <c r="J26" s="13">
        <f>O25</f>
        <v/>
      </c>
      <c r="K26" s="13">
        <f>IF(J26&lt;=0.005,0,ROUND(J26*Inputs!$C$8,2))</f>
        <v/>
      </c>
      <c r="L26" s="13">
        <f>IF(J26&lt;=0.005,0,MIN(Inputs!$C$7,J26+K26))</f>
        <v/>
      </c>
      <c r="M26" s="13">
        <f>L26-K26</f>
        <v/>
      </c>
      <c r="N26" s="13">
        <f>IF(J26&lt;=0.005,0,MIN(H26,J26-M26))</f>
        <v/>
      </c>
      <c r="O26" s="13">
        <f>ROUND(J26-M26-N26,2)</f>
        <v/>
      </c>
    </row>
    <row r="27">
      <c r="A27" s="11" t="n">
        <v>25</v>
      </c>
      <c r="B27" s="12">
        <f>EDATE(Inputs!$C$6,A27-1)</f>
        <v/>
      </c>
      <c r="C27" s="13">
        <f>G26</f>
        <v/>
      </c>
      <c r="D27" s="13">
        <f>IF(C27&lt;=0.005,0,ROUND(C27*Inputs!$C$8,2))</f>
        <v/>
      </c>
      <c r="E27" s="13">
        <f>IF(C27&lt;=0.005,0,MIN(Inputs!$C$7,C27+D27))</f>
        <v/>
      </c>
      <c r="F27" s="13">
        <f>E27-D27</f>
        <v/>
      </c>
      <c r="G27" s="13">
        <f>ROUND(C27-F27,2)</f>
        <v/>
      </c>
      <c r="H27" s="14" t="n">
        <v>0</v>
      </c>
      <c r="I27" s="11">
        <f>IF(H27=0,"",IF(A27&lt;2,"X not before month 2",IF(H27&lt;MAX(5000,Inputs!$C$7),"X below min",IF(H27&gt;MIN(5000000,0.75*J27),"X above max","OK"))))</f>
        <v/>
      </c>
      <c r="J27" s="13">
        <f>O26</f>
        <v/>
      </c>
      <c r="K27" s="13">
        <f>IF(J27&lt;=0.005,0,ROUND(J27*Inputs!$C$8,2))</f>
        <v/>
      </c>
      <c r="L27" s="13">
        <f>IF(J27&lt;=0.005,0,MIN(Inputs!$C$7,J27+K27))</f>
        <v/>
      </c>
      <c r="M27" s="13">
        <f>L27-K27</f>
        <v/>
      </c>
      <c r="N27" s="13">
        <f>IF(J27&lt;=0.005,0,MIN(H27,J27-M27))</f>
        <v/>
      </c>
      <c r="O27" s="13">
        <f>ROUND(J27-M27-N27,2)</f>
        <v/>
      </c>
    </row>
    <row r="28">
      <c r="A28" s="11" t="n">
        <v>26</v>
      </c>
      <c r="B28" s="12">
        <f>EDATE(Inputs!$C$6,A28-1)</f>
        <v/>
      </c>
      <c r="C28" s="13">
        <f>G27</f>
        <v/>
      </c>
      <c r="D28" s="13">
        <f>IF(C28&lt;=0.005,0,ROUND(C28*Inputs!$C$8,2))</f>
        <v/>
      </c>
      <c r="E28" s="13">
        <f>IF(C28&lt;=0.005,0,MIN(Inputs!$C$7,C28+D28))</f>
        <v/>
      </c>
      <c r="F28" s="13">
        <f>E28-D28</f>
        <v/>
      </c>
      <c r="G28" s="13">
        <f>ROUND(C28-F28,2)</f>
        <v/>
      </c>
      <c r="H28" s="14" t="n">
        <v>0</v>
      </c>
      <c r="I28" s="11">
        <f>IF(H28=0,"",IF(A28&lt;2,"X not before month 2",IF(H28&lt;MAX(5000,Inputs!$C$7),"X below min",IF(H28&gt;MIN(5000000,0.75*J28),"X above max","OK"))))</f>
        <v/>
      </c>
      <c r="J28" s="13">
        <f>O27</f>
        <v/>
      </c>
      <c r="K28" s="13">
        <f>IF(J28&lt;=0.005,0,ROUND(J28*Inputs!$C$8,2))</f>
        <v/>
      </c>
      <c r="L28" s="13">
        <f>IF(J28&lt;=0.005,0,MIN(Inputs!$C$7,J28+K28))</f>
        <v/>
      </c>
      <c r="M28" s="13">
        <f>L28-K28</f>
        <v/>
      </c>
      <c r="N28" s="13">
        <f>IF(J28&lt;=0.005,0,MIN(H28,J28-M28))</f>
        <v/>
      </c>
      <c r="O28" s="13">
        <f>ROUND(J28-M28-N28,2)</f>
        <v/>
      </c>
    </row>
    <row r="29">
      <c r="A29" s="11" t="n">
        <v>27</v>
      </c>
      <c r="B29" s="12">
        <f>EDATE(Inputs!$C$6,A29-1)</f>
        <v/>
      </c>
      <c r="C29" s="13">
        <f>G28</f>
        <v/>
      </c>
      <c r="D29" s="13">
        <f>IF(C29&lt;=0.005,0,ROUND(C29*Inputs!$C$8,2))</f>
        <v/>
      </c>
      <c r="E29" s="13">
        <f>IF(C29&lt;=0.005,0,MIN(Inputs!$C$7,C29+D29))</f>
        <v/>
      </c>
      <c r="F29" s="13">
        <f>E29-D29</f>
        <v/>
      </c>
      <c r="G29" s="13">
        <f>ROUND(C29-F29,2)</f>
        <v/>
      </c>
      <c r="H29" s="14" t="n">
        <v>0</v>
      </c>
      <c r="I29" s="11">
        <f>IF(H29=0,"",IF(A29&lt;2,"X not before month 2",IF(H29&lt;MAX(5000,Inputs!$C$7),"X below min",IF(H29&gt;MIN(5000000,0.75*J29),"X above max","OK"))))</f>
        <v/>
      </c>
      <c r="J29" s="13">
        <f>O28</f>
        <v/>
      </c>
      <c r="K29" s="13">
        <f>IF(J29&lt;=0.005,0,ROUND(J29*Inputs!$C$8,2))</f>
        <v/>
      </c>
      <c r="L29" s="13">
        <f>IF(J29&lt;=0.005,0,MIN(Inputs!$C$7,J29+K29))</f>
        <v/>
      </c>
      <c r="M29" s="13">
        <f>L29-K29</f>
        <v/>
      </c>
      <c r="N29" s="13">
        <f>IF(J29&lt;=0.005,0,MIN(H29,J29-M29))</f>
        <v/>
      </c>
      <c r="O29" s="13">
        <f>ROUND(J29-M29-N29,2)</f>
        <v/>
      </c>
    </row>
    <row r="30">
      <c r="A30" s="11" t="n">
        <v>28</v>
      </c>
      <c r="B30" s="12">
        <f>EDATE(Inputs!$C$6,A30-1)</f>
        <v/>
      </c>
      <c r="C30" s="13">
        <f>G29</f>
        <v/>
      </c>
      <c r="D30" s="13">
        <f>IF(C30&lt;=0.005,0,ROUND(C30*Inputs!$C$8,2))</f>
        <v/>
      </c>
      <c r="E30" s="13">
        <f>IF(C30&lt;=0.005,0,MIN(Inputs!$C$7,C30+D30))</f>
        <v/>
      </c>
      <c r="F30" s="13">
        <f>E30-D30</f>
        <v/>
      </c>
      <c r="G30" s="13">
        <f>ROUND(C30-F30,2)</f>
        <v/>
      </c>
      <c r="H30" s="14" t="n">
        <v>0</v>
      </c>
      <c r="I30" s="11">
        <f>IF(H30=0,"",IF(A30&lt;2,"X not before month 2",IF(H30&lt;MAX(5000,Inputs!$C$7),"X below min",IF(H30&gt;MIN(5000000,0.75*J30),"X above max","OK"))))</f>
        <v/>
      </c>
      <c r="J30" s="13">
        <f>O29</f>
        <v/>
      </c>
      <c r="K30" s="13">
        <f>IF(J30&lt;=0.005,0,ROUND(J30*Inputs!$C$8,2))</f>
        <v/>
      </c>
      <c r="L30" s="13">
        <f>IF(J30&lt;=0.005,0,MIN(Inputs!$C$7,J30+K30))</f>
        <v/>
      </c>
      <c r="M30" s="13">
        <f>L30-K30</f>
        <v/>
      </c>
      <c r="N30" s="13">
        <f>IF(J30&lt;=0.005,0,MIN(H30,J30-M30))</f>
        <v/>
      </c>
      <c r="O30" s="13">
        <f>ROUND(J30-M30-N30,2)</f>
        <v/>
      </c>
    </row>
    <row r="31">
      <c r="A31" s="11" t="n">
        <v>29</v>
      </c>
      <c r="B31" s="12">
        <f>EDATE(Inputs!$C$6,A31-1)</f>
        <v/>
      </c>
      <c r="C31" s="13">
        <f>G30</f>
        <v/>
      </c>
      <c r="D31" s="13">
        <f>IF(C31&lt;=0.005,0,ROUND(C31*Inputs!$C$8,2))</f>
        <v/>
      </c>
      <c r="E31" s="13">
        <f>IF(C31&lt;=0.005,0,MIN(Inputs!$C$7,C31+D31))</f>
        <v/>
      </c>
      <c r="F31" s="13">
        <f>E31-D31</f>
        <v/>
      </c>
      <c r="G31" s="13">
        <f>ROUND(C31-F31,2)</f>
        <v/>
      </c>
      <c r="H31" s="14" t="n">
        <v>0</v>
      </c>
      <c r="I31" s="11">
        <f>IF(H31=0,"",IF(A31&lt;2,"X not before month 2",IF(H31&lt;MAX(5000,Inputs!$C$7),"X below min",IF(H31&gt;MIN(5000000,0.75*J31),"X above max","OK"))))</f>
        <v/>
      </c>
      <c r="J31" s="13">
        <f>O30</f>
        <v/>
      </c>
      <c r="K31" s="13">
        <f>IF(J31&lt;=0.005,0,ROUND(J31*Inputs!$C$8,2))</f>
        <v/>
      </c>
      <c r="L31" s="13">
        <f>IF(J31&lt;=0.005,0,MIN(Inputs!$C$7,J31+K31))</f>
        <v/>
      </c>
      <c r="M31" s="13">
        <f>L31-K31</f>
        <v/>
      </c>
      <c r="N31" s="13">
        <f>IF(J31&lt;=0.005,0,MIN(H31,J31-M31))</f>
        <v/>
      </c>
      <c r="O31" s="13">
        <f>ROUND(J31-M31-N31,2)</f>
        <v/>
      </c>
    </row>
    <row r="32">
      <c r="A32" s="11" t="n">
        <v>30</v>
      </c>
      <c r="B32" s="12">
        <f>EDATE(Inputs!$C$6,A32-1)</f>
        <v/>
      </c>
      <c r="C32" s="13">
        <f>G31</f>
        <v/>
      </c>
      <c r="D32" s="13">
        <f>IF(C32&lt;=0.005,0,ROUND(C32*Inputs!$C$8,2))</f>
        <v/>
      </c>
      <c r="E32" s="13">
        <f>IF(C32&lt;=0.005,0,MIN(Inputs!$C$7,C32+D32))</f>
        <v/>
      </c>
      <c r="F32" s="13">
        <f>E32-D32</f>
        <v/>
      </c>
      <c r="G32" s="13">
        <f>ROUND(C32-F32,2)</f>
        <v/>
      </c>
      <c r="H32" s="14" t="n">
        <v>0</v>
      </c>
      <c r="I32" s="11">
        <f>IF(H32=0,"",IF(A32&lt;2,"X not before month 2",IF(H32&lt;MAX(5000,Inputs!$C$7),"X below min",IF(H32&gt;MIN(5000000,0.75*J32),"X above max","OK"))))</f>
        <v/>
      </c>
      <c r="J32" s="13">
        <f>O31</f>
        <v/>
      </c>
      <c r="K32" s="13">
        <f>IF(J32&lt;=0.005,0,ROUND(J32*Inputs!$C$8,2))</f>
        <v/>
      </c>
      <c r="L32" s="13">
        <f>IF(J32&lt;=0.005,0,MIN(Inputs!$C$7,J32+K32))</f>
        <v/>
      </c>
      <c r="M32" s="13">
        <f>L32-K32</f>
        <v/>
      </c>
      <c r="N32" s="13">
        <f>IF(J32&lt;=0.005,0,MIN(H32,J32-M32))</f>
        <v/>
      </c>
      <c r="O32" s="13">
        <f>ROUND(J32-M32-N32,2)</f>
        <v/>
      </c>
    </row>
    <row r="33">
      <c r="A33" s="11" t="n">
        <v>31</v>
      </c>
      <c r="B33" s="12">
        <f>EDATE(Inputs!$C$6,A33-1)</f>
        <v/>
      </c>
      <c r="C33" s="13">
        <f>G32</f>
        <v/>
      </c>
      <c r="D33" s="13">
        <f>IF(C33&lt;=0.005,0,ROUND(C33*Inputs!$C$8,2))</f>
        <v/>
      </c>
      <c r="E33" s="13">
        <f>IF(C33&lt;=0.005,0,MIN(Inputs!$C$7,C33+D33))</f>
        <v/>
      </c>
      <c r="F33" s="13">
        <f>E33-D33</f>
        <v/>
      </c>
      <c r="G33" s="13">
        <f>ROUND(C33-F33,2)</f>
        <v/>
      </c>
      <c r="H33" s="14" t="n">
        <v>0</v>
      </c>
      <c r="I33" s="11">
        <f>IF(H33=0,"",IF(A33&lt;2,"X not before month 2",IF(H33&lt;MAX(5000,Inputs!$C$7),"X below min",IF(H33&gt;MIN(5000000,0.75*J33),"X above max","OK"))))</f>
        <v/>
      </c>
      <c r="J33" s="13">
        <f>O32</f>
        <v/>
      </c>
      <c r="K33" s="13">
        <f>IF(J33&lt;=0.005,0,ROUND(J33*Inputs!$C$8,2))</f>
        <v/>
      </c>
      <c r="L33" s="13">
        <f>IF(J33&lt;=0.005,0,MIN(Inputs!$C$7,J33+K33))</f>
        <v/>
      </c>
      <c r="M33" s="13">
        <f>L33-K33</f>
        <v/>
      </c>
      <c r="N33" s="13">
        <f>IF(J33&lt;=0.005,0,MIN(H33,J33-M33))</f>
        <v/>
      </c>
      <c r="O33" s="13">
        <f>ROUND(J33-M33-N33,2)</f>
        <v/>
      </c>
    </row>
    <row r="34">
      <c r="A34" s="11" t="n">
        <v>32</v>
      </c>
      <c r="B34" s="12">
        <f>EDATE(Inputs!$C$6,A34-1)</f>
        <v/>
      </c>
      <c r="C34" s="13">
        <f>G33</f>
        <v/>
      </c>
      <c r="D34" s="13">
        <f>IF(C34&lt;=0.005,0,ROUND(C34*Inputs!$C$8,2))</f>
        <v/>
      </c>
      <c r="E34" s="13">
        <f>IF(C34&lt;=0.005,0,MIN(Inputs!$C$7,C34+D34))</f>
        <v/>
      </c>
      <c r="F34" s="13">
        <f>E34-D34</f>
        <v/>
      </c>
      <c r="G34" s="13">
        <f>ROUND(C34-F34,2)</f>
        <v/>
      </c>
      <c r="H34" s="14" t="n">
        <v>0</v>
      </c>
      <c r="I34" s="11">
        <f>IF(H34=0,"",IF(A34&lt;2,"X not before month 2",IF(H34&lt;MAX(5000,Inputs!$C$7),"X below min",IF(H34&gt;MIN(5000000,0.75*J34),"X above max","OK"))))</f>
        <v/>
      </c>
      <c r="J34" s="13">
        <f>O33</f>
        <v/>
      </c>
      <c r="K34" s="13">
        <f>IF(J34&lt;=0.005,0,ROUND(J34*Inputs!$C$8,2))</f>
        <v/>
      </c>
      <c r="L34" s="13">
        <f>IF(J34&lt;=0.005,0,MIN(Inputs!$C$7,J34+K34))</f>
        <v/>
      </c>
      <c r="M34" s="13">
        <f>L34-K34</f>
        <v/>
      </c>
      <c r="N34" s="13">
        <f>IF(J34&lt;=0.005,0,MIN(H34,J34-M34))</f>
        <v/>
      </c>
      <c r="O34" s="13">
        <f>ROUND(J34-M34-N34,2)</f>
        <v/>
      </c>
    </row>
    <row r="35">
      <c r="A35" s="11" t="n">
        <v>33</v>
      </c>
      <c r="B35" s="12">
        <f>EDATE(Inputs!$C$6,A35-1)</f>
        <v/>
      </c>
      <c r="C35" s="13">
        <f>G34</f>
        <v/>
      </c>
      <c r="D35" s="13">
        <f>IF(C35&lt;=0.005,0,ROUND(C35*Inputs!$C$8,2))</f>
        <v/>
      </c>
      <c r="E35" s="13">
        <f>IF(C35&lt;=0.005,0,MIN(Inputs!$C$7,C35+D35))</f>
        <v/>
      </c>
      <c r="F35" s="13">
        <f>E35-D35</f>
        <v/>
      </c>
      <c r="G35" s="13">
        <f>ROUND(C35-F35,2)</f>
        <v/>
      </c>
      <c r="H35" s="14" t="n">
        <v>0</v>
      </c>
      <c r="I35" s="11">
        <f>IF(H35=0,"",IF(A35&lt;2,"X not before month 2",IF(H35&lt;MAX(5000,Inputs!$C$7),"X below min",IF(H35&gt;MIN(5000000,0.75*J35),"X above max","OK"))))</f>
        <v/>
      </c>
      <c r="J35" s="13">
        <f>O34</f>
        <v/>
      </c>
      <c r="K35" s="13">
        <f>IF(J35&lt;=0.005,0,ROUND(J35*Inputs!$C$8,2))</f>
        <v/>
      </c>
      <c r="L35" s="13">
        <f>IF(J35&lt;=0.005,0,MIN(Inputs!$C$7,J35+K35))</f>
        <v/>
      </c>
      <c r="M35" s="13">
        <f>L35-K35</f>
        <v/>
      </c>
      <c r="N35" s="13">
        <f>IF(J35&lt;=0.005,0,MIN(H35,J35-M35))</f>
        <v/>
      </c>
      <c r="O35" s="13">
        <f>ROUND(J35-M35-N35,2)</f>
        <v/>
      </c>
    </row>
    <row r="36">
      <c r="A36" s="11" t="n">
        <v>34</v>
      </c>
      <c r="B36" s="12">
        <f>EDATE(Inputs!$C$6,A36-1)</f>
        <v/>
      </c>
      <c r="C36" s="13">
        <f>G35</f>
        <v/>
      </c>
      <c r="D36" s="13">
        <f>IF(C36&lt;=0.005,0,ROUND(C36*Inputs!$C$8,2))</f>
        <v/>
      </c>
      <c r="E36" s="13">
        <f>IF(C36&lt;=0.005,0,MIN(Inputs!$C$7,C36+D36))</f>
        <v/>
      </c>
      <c r="F36" s="13">
        <f>E36-D36</f>
        <v/>
      </c>
      <c r="G36" s="13">
        <f>ROUND(C36-F36,2)</f>
        <v/>
      </c>
      <c r="H36" s="14" t="n">
        <v>0</v>
      </c>
      <c r="I36" s="11">
        <f>IF(H36=0,"",IF(A36&lt;2,"X not before month 2",IF(H36&lt;MAX(5000,Inputs!$C$7),"X below min",IF(H36&gt;MIN(5000000,0.75*J36),"X above max","OK"))))</f>
        <v/>
      </c>
      <c r="J36" s="13">
        <f>O35</f>
        <v/>
      </c>
      <c r="K36" s="13">
        <f>IF(J36&lt;=0.005,0,ROUND(J36*Inputs!$C$8,2))</f>
        <v/>
      </c>
      <c r="L36" s="13">
        <f>IF(J36&lt;=0.005,0,MIN(Inputs!$C$7,J36+K36))</f>
        <v/>
      </c>
      <c r="M36" s="13">
        <f>L36-K36</f>
        <v/>
      </c>
      <c r="N36" s="13">
        <f>IF(J36&lt;=0.005,0,MIN(H36,J36-M36))</f>
        <v/>
      </c>
      <c r="O36" s="13">
        <f>ROUND(J36-M36-N36,2)</f>
        <v/>
      </c>
    </row>
    <row r="37">
      <c r="A37" s="11" t="n">
        <v>35</v>
      </c>
      <c r="B37" s="12">
        <f>EDATE(Inputs!$C$6,A37-1)</f>
        <v/>
      </c>
      <c r="C37" s="13">
        <f>G36</f>
        <v/>
      </c>
      <c r="D37" s="13">
        <f>IF(C37&lt;=0.005,0,ROUND(C37*Inputs!$C$8,2))</f>
        <v/>
      </c>
      <c r="E37" s="13">
        <f>IF(C37&lt;=0.005,0,MIN(Inputs!$C$7,C37+D37))</f>
        <v/>
      </c>
      <c r="F37" s="13">
        <f>E37-D37</f>
        <v/>
      </c>
      <c r="G37" s="13">
        <f>ROUND(C37-F37,2)</f>
        <v/>
      </c>
      <c r="H37" s="14" t="n">
        <v>0</v>
      </c>
      <c r="I37" s="11">
        <f>IF(H37=0,"",IF(A37&lt;2,"X not before month 2",IF(H37&lt;MAX(5000,Inputs!$C$7),"X below min",IF(H37&gt;MIN(5000000,0.75*J37),"X above max","OK"))))</f>
        <v/>
      </c>
      <c r="J37" s="13">
        <f>O36</f>
        <v/>
      </c>
      <c r="K37" s="13">
        <f>IF(J37&lt;=0.005,0,ROUND(J37*Inputs!$C$8,2))</f>
        <v/>
      </c>
      <c r="L37" s="13">
        <f>IF(J37&lt;=0.005,0,MIN(Inputs!$C$7,J37+K37))</f>
        <v/>
      </c>
      <c r="M37" s="13">
        <f>L37-K37</f>
        <v/>
      </c>
      <c r="N37" s="13">
        <f>IF(J37&lt;=0.005,0,MIN(H37,J37-M37))</f>
        <v/>
      </c>
      <c r="O37" s="13">
        <f>ROUND(J37-M37-N37,2)</f>
        <v/>
      </c>
    </row>
    <row r="38">
      <c r="A38" s="11" t="n">
        <v>36</v>
      </c>
      <c r="B38" s="12">
        <f>EDATE(Inputs!$C$6,A38-1)</f>
        <v/>
      </c>
      <c r="C38" s="13">
        <f>G37</f>
        <v/>
      </c>
      <c r="D38" s="13">
        <f>IF(C38&lt;=0.005,0,ROUND(C38*Inputs!$C$8,2))</f>
        <v/>
      </c>
      <c r="E38" s="13">
        <f>IF(C38&lt;=0.005,0,MIN(Inputs!$C$7,C38+D38))</f>
        <v/>
      </c>
      <c r="F38" s="13">
        <f>E38-D38</f>
        <v/>
      </c>
      <c r="G38" s="13">
        <f>ROUND(C38-F38,2)</f>
        <v/>
      </c>
      <c r="H38" s="14" t="n">
        <v>0</v>
      </c>
      <c r="I38" s="11">
        <f>IF(H38=0,"",IF(A38&lt;2,"X not before month 2",IF(H38&lt;MAX(5000,Inputs!$C$7),"X below min",IF(H38&gt;MIN(5000000,0.75*J38),"X above max","OK"))))</f>
        <v/>
      </c>
      <c r="J38" s="13">
        <f>O37</f>
        <v/>
      </c>
      <c r="K38" s="13">
        <f>IF(J38&lt;=0.005,0,ROUND(J38*Inputs!$C$8,2))</f>
        <v/>
      </c>
      <c r="L38" s="13">
        <f>IF(J38&lt;=0.005,0,MIN(Inputs!$C$7,J38+K38))</f>
        <v/>
      </c>
      <c r="M38" s="13">
        <f>L38-K38</f>
        <v/>
      </c>
      <c r="N38" s="13">
        <f>IF(J38&lt;=0.005,0,MIN(H38,J38-M38))</f>
        <v/>
      </c>
      <c r="O38" s="13">
        <f>ROUND(J38-M38-N38,2)</f>
        <v/>
      </c>
    </row>
    <row r="39">
      <c r="A39" s="11" t="n">
        <v>37</v>
      </c>
      <c r="B39" s="12">
        <f>EDATE(Inputs!$C$6,A39-1)</f>
        <v/>
      </c>
      <c r="C39" s="13">
        <f>G38</f>
        <v/>
      </c>
      <c r="D39" s="13">
        <f>IF(C39&lt;=0.005,0,ROUND(C39*Inputs!$C$8,2))</f>
        <v/>
      </c>
      <c r="E39" s="13">
        <f>IF(C39&lt;=0.005,0,MIN(Inputs!$C$7,C39+D39))</f>
        <v/>
      </c>
      <c r="F39" s="13">
        <f>E39-D39</f>
        <v/>
      </c>
      <c r="G39" s="13">
        <f>ROUND(C39-F39,2)</f>
        <v/>
      </c>
      <c r="H39" s="14" t="n">
        <v>0</v>
      </c>
      <c r="I39" s="11">
        <f>IF(H39=0,"",IF(A39&lt;2,"X not before month 2",IF(H39&lt;MAX(5000,Inputs!$C$7),"X below min",IF(H39&gt;MIN(5000000,0.75*J39),"X above max","OK"))))</f>
        <v/>
      </c>
      <c r="J39" s="13">
        <f>O38</f>
        <v/>
      </c>
      <c r="K39" s="13">
        <f>IF(J39&lt;=0.005,0,ROUND(J39*Inputs!$C$8,2))</f>
        <v/>
      </c>
      <c r="L39" s="13">
        <f>IF(J39&lt;=0.005,0,MIN(Inputs!$C$7,J39+K39))</f>
        <v/>
      </c>
      <c r="M39" s="13">
        <f>L39-K39</f>
        <v/>
      </c>
      <c r="N39" s="13">
        <f>IF(J39&lt;=0.005,0,MIN(H39,J39-M39))</f>
        <v/>
      </c>
      <c r="O39" s="13">
        <f>ROUND(J39-M39-N39,2)</f>
        <v/>
      </c>
    </row>
    <row r="40">
      <c r="A40" s="11" t="n">
        <v>38</v>
      </c>
      <c r="B40" s="12">
        <f>EDATE(Inputs!$C$6,A40-1)</f>
        <v/>
      </c>
      <c r="C40" s="13">
        <f>G39</f>
        <v/>
      </c>
      <c r="D40" s="13">
        <f>IF(C40&lt;=0.005,0,ROUND(C40*Inputs!$C$8,2))</f>
        <v/>
      </c>
      <c r="E40" s="13">
        <f>IF(C40&lt;=0.005,0,MIN(Inputs!$C$7,C40+D40))</f>
        <v/>
      </c>
      <c r="F40" s="13">
        <f>E40-D40</f>
        <v/>
      </c>
      <c r="G40" s="13">
        <f>ROUND(C40-F40,2)</f>
        <v/>
      </c>
      <c r="H40" s="14" t="n">
        <v>0</v>
      </c>
      <c r="I40" s="11">
        <f>IF(H40=0,"",IF(A40&lt;2,"X not before month 2",IF(H40&lt;MAX(5000,Inputs!$C$7),"X below min",IF(H40&gt;MIN(5000000,0.75*J40),"X above max","OK"))))</f>
        <v/>
      </c>
      <c r="J40" s="13">
        <f>O39</f>
        <v/>
      </c>
      <c r="K40" s="13">
        <f>IF(J40&lt;=0.005,0,ROUND(J40*Inputs!$C$8,2))</f>
        <v/>
      </c>
      <c r="L40" s="13">
        <f>IF(J40&lt;=0.005,0,MIN(Inputs!$C$7,J40+K40))</f>
        <v/>
      </c>
      <c r="M40" s="13">
        <f>L40-K40</f>
        <v/>
      </c>
      <c r="N40" s="13">
        <f>IF(J40&lt;=0.005,0,MIN(H40,J40-M40))</f>
        <v/>
      </c>
      <c r="O40" s="13">
        <f>ROUND(J40-M40-N40,2)</f>
        <v/>
      </c>
    </row>
    <row r="41">
      <c r="A41" s="11" t="n">
        <v>39</v>
      </c>
      <c r="B41" s="12">
        <f>EDATE(Inputs!$C$6,A41-1)</f>
        <v/>
      </c>
      <c r="C41" s="13">
        <f>G40</f>
        <v/>
      </c>
      <c r="D41" s="13">
        <f>IF(C41&lt;=0.005,0,ROUND(C41*Inputs!$C$8,2))</f>
        <v/>
      </c>
      <c r="E41" s="13">
        <f>IF(C41&lt;=0.005,0,MIN(Inputs!$C$7,C41+D41))</f>
        <v/>
      </c>
      <c r="F41" s="13">
        <f>E41-D41</f>
        <v/>
      </c>
      <c r="G41" s="13">
        <f>ROUND(C41-F41,2)</f>
        <v/>
      </c>
      <c r="H41" s="14" t="n">
        <v>0</v>
      </c>
      <c r="I41" s="11">
        <f>IF(H41=0,"",IF(A41&lt;2,"X not before month 2",IF(H41&lt;MAX(5000,Inputs!$C$7),"X below min",IF(H41&gt;MIN(5000000,0.75*J41),"X above max","OK"))))</f>
        <v/>
      </c>
      <c r="J41" s="13">
        <f>O40</f>
        <v/>
      </c>
      <c r="K41" s="13">
        <f>IF(J41&lt;=0.005,0,ROUND(J41*Inputs!$C$8,2))</f>
        <v/>
      </c>
      <c r="L41" s="13">
        <f>IF(J41&lt;=0.005,0,MIN(Inputs!$C$7,J41+K41))</f>
        <v/>
      </c>
      <c r="M41" s="13">
        <f>L41-K41</f>
        <v/>
      </c>
      <c r="N41" s="13">
        <f>IF(J41&lt;=0.005,0,MIN(H41,J41-M41))</f>
        <v/>
      </c>
      <c r="O41" s="13">
        <f>ROUND(J41-M41-N41,2)</f>
        <v/>
      </c>
    </row>
    <row r="42">
      <c r="A42" s="11" t="n">
        <v>40</v>
      </c>
      <c r="B42" s="12">
        <f>EDATE(Inputs!$C$6,A42-1)</f>
        <v/>
      </c>
      <c r="C42" s="13">
        <f>G41</f>
        <v/>
      </c>
      <c r="D42" s="13">
        <f>IF(C42&lt;=0.005,0,ROUND(C42*Inputs!$C$8,2))</f>
        <v/>
      </c>
      <c r="E42" s="13">
        <f>IF(C42&lt;=0.005,0,MIN(Inputs!$C$7,C42+D42))</f>
        <v/>
      </c>
      <c r="F42" s="13">
        <f>E42-D42</f>
        <v/>
      </c>
      <c r="G42" s="13">
        <f>ROUND(C42-F42,2)</f>
        <v/>
      </c>
      <c r="H42" s="14" t="n">
        <v>0</v>
      </c>
      <c r="I42" s="11">
        <f>IF(H42=0,"",IF(A42&lt;2,"X not before month 2",IF(H42&lt;MAX(5000,Inputs!$C$7),"X below min",IF(H42&gt;MIN(5000000,0.75*J42),"X above max","OK"))))</f>
        <v/>
      </c>
      <c r="J42" s="13">
        <f>O41</f>
        <v/>
      </c>
      <c r="K42" s="13">
        <f>IF(J42&lt;=0.005,0,ROUND(J42*Inputs!$C$8,2))</f>
        <v/>
      </c>
      <c r="L42" s="13">
        <f>IF(J42&lt;=0.005,0,MIN(Inputs!$C$7,J42+K42))</f>
        <v/>
      </c>
      <c r="M42" s="13">
        <f>L42-K42</f>
        <v/>
      </c>
      <c r="N42" s="13">
        <f>IF(J42&lt;=0.005,0,MIN(H42,J42-M42))</f>
        <v/>
      </c>
      <c r="O42" s="13">
        <f>ROUND(J42-M42-N42,2)</f>
        <v/>
      </c>
    </row>
    <row r="43">
      <c r="A43" s="11" t="n">
        <v>41</v>
      </c>
      <c r="B43" s="12">
        <f>EDATE(Inputs!$C$6,A43-1)</f>
        <v/>
      </c>
      <c r="C43" s="13">
        <f>G42</f>
        <v/>
      </c>
      <c r="D43" s="13">
        <f>IF(C43&lt;=0.005,0,ROUND(C43*Inputs!$C$8,2))</f>
        <v/>
      </c>
      <c r="E43" s="13">
        <f>IF(C43&lt;=0.005,0,MIN(Inputs!$C$7,C43+D43))</f>
        <v/>
      </c>
      <c r="F43" s="13">
        <f>E43-D43</f>
        <v/>
      </c>
      <c r="G43" s="13">
        <f>ROUND(C43-F43,2)</f>
        <v/>
      </c>
      <c r="H43" s="14" t="n">
        <v>0</v>
      </c>
      <c r="I43" s="11">
        <f>IF(H43=0,"",IF(A43&lt;2,"X not before month 2",IF(H43&lt;MAX(5000,Inputs!$C$7),"X below min",IF(H43&gt;MIN(5000000,0.75*J43),"X above max","OK"))))</f>
        <v/>
      </c>
      <c r="J43" s="13">
        <f>O42</f>
        <v/>
      </c>
      <c r="K43" s="13">
        <f>IF(J43&lt;=0.005,0,ROUND(J43*Inputs!$C$8,2))</f>
        <v/>
      </c>
      <c r="L43" s="13">
        <f>IF(J43&lt;=0.005,0,MIN(Inputs!$C$7,J43+K43))</f>
        <v/>
      </c>
      <c r="M43" s="13">
        <f>L43-K43</f>
        <v/>
      </c>
      <c r="N43" s="13">
        <f>IF(J43&lt;=0.005,0,MIN(H43,J43-M43))</f>
        <v/>
      </c>
      <c r="O43" s="13">
        <f>ROUND(J43-M43-N43,2)</f>
        <v/>
      </c>
    </row>
    <row r="44">
      <c r="A44" s="11" t="n">
        <v>42</v>
      </c>
      <c r="B44" s="12">
        <f>EDATE(Inputs!$C$6,A44-1)</f>
        <v/>
      </c>
      <c r="C44" s="13">
        <f>G43</f>
        <v/>
      </c>
      <c r="D44" s="13">
        <f>IF(C44&lt;=0.005,0,ROUND(C44*Inputs!$C$8,2))</f>
        <v/>
      </c>
      <c r="E44" s="13">
        <f>IF(C44&lt;=0.005,0,MIN(Inputs!$C$7,C44+D44))</f>
        <v/>
      </c>
      <c r="F44" s="13">
        <f>E44-D44</f>
        <v/>
      </c>
      <c r="G44" s="13">
        <f>ROUND(C44-F44,2)</f>
        <v/>
      </c>
      <c r="H44" s="14" t="n">
        <v>0</v>
      </c>
      <c r="I44" s="11">
        <f>IF(H44=0,"",IF(A44&lt;2,"X not before month 2",IF(H44&lt;MAX(5000,Inputs!$C$7),"X below min",IF(H44&gt;MIN(5000000,0.75*J44),"X above max","OK"))))</f>
        <v/>
      </c>
      <c r="J44" s="13">
        <f>O43</f>
        <v/>
      </c>
      <c r="K44" s="13">
        <f>IF(J44&lt;=0.005,0,ROUND(J44*Inputs!$C$8,2))</f>
        <v/>
      </c>
      <c r="L44" s="13">
        <f>IF(J44&lt;=0.005,0,MIN(Inputs!$C$7,J44+K44))</f>
        <v/>
      </c>
      <c r="M44" s="13">
        <f>L44-K44</f>
        <v/>
      </c>
      <c r="N44" s="13">
        <f>IF(J44&lt;=0.005,0,MIN(H44,J44-M44))</f>
        <v/>
      </c>
      <c r="O44" s="13">
        <f>ROUND(J44-M44-N44,2)</f>
        <v/>
      </c>
    </row>
    <row r="45">
      <c r="A45" s="11" t="n">
        <v>43</v>
      </c>
      <c r="B45" s="12">
        <f>EDATE(Inputs!$C$6,A45-1)</f>
        <v/>
      </c>
      <c r="C45" s="13">
        <f>G44</f>
        <v/>
      </c>
      <c r="D45" s="13">
        <f>IF(C45&lt;=0.005,0,ROUND(C45*Inputs!$C$8,2))</f>
        <v/>
      </c>
      <c r="E45" s="13">
        <f>IF(C45&lt;=0.005,0,MIN(Inputs!$C$7,C45+D45))</f>
        <v/>
      </c>
      <c r="F45" s="13">
        <f>E45-D45</f>
        <v/>
      </c>
      <c r="G45" s="13">
        <f>ROUND(C45-F45,2)</f>
        <v/>
      </c>
      <c r="H45" s="14" t="n">
        <v>0</v>
      </c>
      <c r="I45" s="11">
        <f>IF(H45=0,"",IF(A45&lt;2,"X not before month 2",IF(H45&lt;MAX(5000,Inputs!$C$7),"X below min",IF(H45&gt;MIN(5000000,0.75*J45),"X above max","OK"))))</f>
        <v/>
      </c>
      <c r="J45" s="13">
        <f>O44</f>
        <v/>
      </c>
      <c r="K45" s="13">
        <f>IF(J45&lt;=0.005,0,ROUND(J45*Inputs!$C$8,2))</f>
        <v/>
      </c>
      <c r="L45" s="13">
        <f>IF(J45&lt;=0.005,0,MIN(Inputs!$C$7,J45+K45))</f>
        <v/>
      </c>
      <c r="M45" s="13">
        <f>L45-K45</f>
        <v/>
      </c>
      <c r="N45" s="13">
        <f>IF(J45&lt;=0.005,0,MIN(H45,J45-M45))</f>
        <v/>
      </c>
      <c r="O45" s="13">
        <f>ROUND(J45-M45-N45,2)</f>
        <v/>
      </c>
    </row>
    <row r="46">
      <c r="A46" s="11" t="n">
        <v>44</v>
      </c>
      <c r="B46" s="12">
        <f>EDATE(Inputs!$C$6,A46-1)</f>
        <v/>
      </c>
      <c r="C46" s="13">
        <f>G45</f>
        <v/>
      </c>
      <c r="D46" s="13">
        <f>IF(C46&lt;=0.005,0,ROUND(C46*Inputs!$C$8,2))</f>
        <v/>
      </c>
      <c r="E46" s="13">
        <f>IF(C46&lt;=0.005,0,MIN(Inputs!$C$7,C46+D46))</f>
        <v/>
      </c>
      <c r="F46" s="13">
        <f>E46-D46</f>
        <v/>
      </c>
      <c r="G46" s="13">
        <f>ROUND(C46-F46,2)</f>
        <v/>
      </c>
      <c r="H46" s="14" t="n">
        <v>0</v>
      </c>
      <c r="I46" s="11">
        <f>IF(H46=0,"",IF(A46&lt;2,"X not before month 2",IF(H46&lt;MAX(5000,Inputs!$C$7),"X below min",IF(H46&gt;MIN(5000000,0.75*J46),"X above max","OK"))))</f>
        <v/>
      </c>
      <c r="J46" s="13">
        <f>O45</f>
        <v/>
      </c>
      <c r="K46" s="13">
        <f>IF(J46&lt;=0.005,0,ROUND(J46*Inputs!$C$8,2))</f>
        <v/>
      </c>
      <c r="L46" s="13">
        <f>IF(J46&lt;=0.005,0,MIN(Inputs!$C$7,J46+K46))</f>
        <v/>
      </c>
      <c r="M46" s="13">
        <f>L46-K46</f>
        <v/>
      </c>
      <c r="N46" s="13">
        <f>IF(J46&lt;=0.005,0,MIN(H46,J46-M46))</f>
        <v/>
      </c>
      <c r="O46" s="13">
        <f>ROUND(J46-M46-N46,2)</f>
        <v/>
      </c>
    </row>
    <row r="47">
      <c r="A47" s="11" t="n">
        <v>45</v>
      </c>
      <c r="B47" s="12">
        <f>EDATE(Inputs!$C$6,A47-1)</f>
        <v/>
      </c>
      <c r="C47" s="13">
        <f>G46</f>
        <v/>
      </c>
      <c r="D47" s="13">
        <f>IF(C47&lt;=0.005,0,ROUND(C47*Inputs!$C$8,2))</f>
        <v/>
      </c>
      <c r="E47" s="13">
        <f>IF(C47&lt;=0.005,0,MIN(Inputs!$C$7,C47+D47))</f>
        <v/>
      </c>
      <c r="F47" s="13">
        <f>E47-D47</f>
        <v/>
      </c>
      <c r="G47" s="13">
        <f>ROUND(C47-F47,2)</f>
        <v/>
      </c>
      <c r="H47" s="14" t="n">
        <v>0</v>
      </c>
      <c r="I47" s="11">
        <f>IF(H47=0,"",IF(A47&lt;2,"X not before month 2",IF(H47&lt;MAX(5000,Inputs!$C$7),"X below min",IF(H47&gt;MIN(5000000,0.75*J47),"X above max","OK"))))</f>
        <v/>
      </c>
      <c r="J47" s="13">
        <f>O46</f>
        <v/>
      </c>
      <c r="K47" s="13">
        <f>IF(J47&lt;=0.005,0,ROUND(J47*Inputs!$C$8,2))</f>
        <v/>
      </c>
      <c r="L47" s="13">
        <f>IF(J47&lt;=0.005,0,MIN(Inputs!$C$7,J47+K47))</f>
        <v/>
      </c>
      <c r="M47" s="13">
        <f>L47-K47</f>
        <v/>
      </c>
      <c r="N47" s="13">
        <f>IF(J47&lt;=0.005,0,MIN(H47,J47-M47))</f>
        <v/>
      </c>
      <c r="O47" s="13">
        <f>ROUND(J47-M47-N47,2)</f>
        <v/>
      </c>
    </row>
    <row r="48">
      <c r="A48" s="11" t="n">
        <v>46</v>
      </c>
      <c r="B48" s="12">
        <f>EDATE(Inputs!$C$6,A48-1)</f>
        <v/>
      </c>
      <c r="C48" s="13">
        <f>G47</f>
        <v/>
      </c>
      <c r="D48" s="13">
        <f>IF(C48&lt;=0.005,0,ROUND(C48*Inputs!$C$8,2))</f>
        <v/>
      </c>
      <c r="E48" s="13">
        <f>IF(C48&lt;=0.005,0,MIN(Inputs!$C$7,C48+D48))</f>
        <v/>
      </c>
      <c r="F48" s="13">
        <f>E48-D48</f>
        <v/>
      </c>
      <c r="G48" s="13">
        <f>ROUND(C48-F48,2)</f>
        <v/>
      </c>
      <c r="H48" s="14" t="n">
        <v>0</v>
      </c>
      <c r="I48" s="11">
        <f>IF(H48=0,"",IF(A48&lt;2,"X not before month 2",IF(H48&lt;MAX(5000,Inputs!$C$7),"X below min",IF(H48&gt;MIN(5000000,0.75*J48),"X above max","OK"))))</f>
        <v/>
      </c>
      <c r="J48" s="13">
        <f>O47</f>
        <v/>
      </c>
      <c r="K48" s="13">
        <f>IF(J48&lt;=0.005,0,ROUND(J48*Inputs!$C$8,2))</f>
        <v/>
      </c>
      <c r="L48" s="13">
        <f>IF(J48&lt;=0.005,0,MIN(Inputs!$C$7,J48+K48))</f>
        <v/>
      </c>
      <c r="M48" s="13">
        <f>L48-K48</f>
        <v/>
      </c>
      <c r="N48" s="13">
        <f>IF(J48&lt;=0.005,0,MIN(H48,J48-M48))</f>
        <v/>
      </c>
      <c r="O48" s="13">
        <f>ROUND(J48-M48-N48,2)</f>
        <v/>
      </c>
    </row>
    <row r="49">
      <c r="A49" s="11" t="n">
        <v>47</v>
      </c>
      <c r="B49" s="12">
        <f>EDATE(Inputs!$C$6,A49-1)</f>
        <v/>
      </c>
      <c r="C49" s="13">
        <f>G48</f>
        <v/>
      </c>
      <c r="D49" s="13">
        <f>IF(C49&lt;=0.005,0,ROUND(C49*Inputs!$C$8,2))</f>
        <v/>
      </c>
      <c r="E49" s="13">
        <f>IF(C49&lt;=0.005,0,MIN(Inputs!$C$7,C49+D49))</f>
        <v/>
      </c>
      <c r="F49" s="13">
        <f>E49-D49</f>
        <v/>
      </c>
      <c r="G49" s="13">
        <f>ROUND(C49-F49,2)</f>
        <v/>
      </c>
      <c r="H49" s="14" t="n">
        <v>0</v>
      </c>
      <c r="I49" s="11">
        <f>IF(H49=0,"",IF(A49&lt;2,"X not before month 2",IF(H49&lt;MAX(5000,Inputs!$C$7),"X below min",IF(H49&gt;MIN(5000000,0.75*J49),"X above max","OK"))))</f>
        <v/>
      </c>
      <c r="J49" s="13">
        <f>O48</f>
        <v/>
      </c>
      <c r="K49" s="13">
        <f>IF(J49&lt;=0.005,0,ROUND(J49*Inputs!$C$8,2))</f>
        <v/>
      </c>
      <c r="L49" s="13">
        <f>IF(J49&lt;=0.005,0,MIN(Inputs!$C$7,J49+K49))</f>
        <v/>
      </c>
      <c r="M49" s="13">
        <f>L49-K49</f>
        <v/>
      </c>
      <c r="N49" s="13">
        <f>IF(J49&lt;=0.005,0,MIN(H49,J49-M49))</f>
        <v/>
      </c>
      <c r="O49" s="13">
        <f>ROUND(J49-M49-N49,2)</f>
        <v/>
      </c>
    </row>
    <row r="50">
      <c r="A50" s="11" t="n">
        <v>48</v>
      </c>
      <c r="B50" s="12">
        <f>EDATE(Inputs!$C$6,A50-1)</f>
        <v/>
      </c>
      <c r="C50" s="13">
        <f>G49</f>
        <v/>
      </c>
      <c r="D50" s="13">
        <f>IF(C50&lt;=0.005,0,ROUND(C50*Inputs!$C$8,2))</f>
        <v/>
      </c>
      <c r="E50" s="13">
        <f>IF(C50&lt;=0.005,0,MIN(Inputs!$C$7,C50+D50))</f>
        <v/>
      </c>
      <c r="F50" s="13">
        <f>E50-D50</f>
        <v/>
      </c>
      <c r="G50" s="13">
        <f>ROUND(C50-F50,2)</f>
        <v/>
      </c>
      <c r="H50" s="14" t="n">
        <v>0</v>
      </c>
      <c r="I50" s="11">
        <f>IF(H50=0,"",IF(A50&lt;2,"X not before month 2",IF(H50&lt;MAX(5000,Inputs!$C$7),"X below min",IF(H50&gt;MIN(5000000,0.75*J50),"X above max","OK"))))</f>
        <v/>
      </c>
      <c r="J50" s="13">
        <f>O49</f>
        <v/>
      </c>
      <c r="K50" s="13">
        <f>IF(J50&lt;=0.005,0,ROUND(J50*Inputs!$C$8,2))</f>
        <v/>
      </c>
      <c r="L50" s="13">
        <f>IF(J50&lt;=0.005,0,MIN(Inputs!$C$7,J50+K50))</f>
        <v/>
      </c>
      <c r="M50" s="13">
        <f>L50-K50</f>
        <v/>
      </c>
      <c r="N50" s="13">
        <f>IF(J50&lt;=0.005,0,MIN(H50,J50-M50))</f>
        <v/>
      </c>
      <c r="O50" s="13">
        <f>ROUND(J50-M50-N50,2)</f>
        <v/>
      </c>
    </row>
    <row r="51">
      <c r="A51" s="11" t="n">
        <v>49</v>
      </c>
      <c r="B51" s="12">
        <f>EDATE(Inputs!$C$6,A51-1)</f>
        <v/>
      </c>
      <c r="C51" s="13">
        <f>G50</f>
        <v/>
      </c>
      <c r="D51" s="13">
        <f>IF(C51&lt;=0.005,0,ROUND(C51*Inputs!$C$8,2))</f>
        <v/>
      </c>
      <c r="E51" s="13">
        <f>IF(C51&lt;=0.005,0,MIN(Inputs!$C$7,C51+D51))</f>
        <v/>
      </c>
      <c r="F51" s="13">
        <f>E51-D51</f>
        <v/>
      </c>
      <c r="G51" s="13">
        <f>ROUND(C51-F51,2)</f>
        <v/>
      </c>
      <c r="H51" s="14" t="n">
        <v>0</v>
      </c>
      <c r="I51" s="11">
        <f>IF(H51=0,"",IF(A51&lt;2,"X not before month 2",IF(H51&lt;MAX(5000,Inputs!$C$7),"X below min",IF(H51&gt;MIN(5000000,0.75*J51),"X above max","OK"))))</f>
        <v/>
      </c>
      <c r="J51" s="13">
        <f>O50</f>
        <v/>
      </c>
      <c r="K51" s="13">
        <f>IF(J51&lt;=0.005,0,ROUND(J51*Inputs!$C$8,2))</f>
        <v/>
      </c>
      <c r="L51" s="13">
        <f>IF(J51&lt;=0.005,0,MIN(Inputs!$C$7,J51+K51))</f>
        <v/>
      </c>
      <c r="M51" s="13">
        <f>L51-K51</f>
        <v/>
      </c>
      <c r="N51" s="13">
        <f>IF(J51&lt;=0.005,0,MIN(H51,J51-M51))</f>
        <v/>
      </c>
      <c r="O51" s="13">
        <f>ROUND(J51-M51-N51,2)</f>
        <v/>
      </c>
    </row>
    <row r="52">
      <c r="A52" s="11" t="n">
        <v>50</v>
      </c>
      <c r="B52" s="12">
        <f>EDATE(Inputs!$C$6,A52-1)</f>
        <v/>
      </c>
      <c r="C52" s="13">
        <f>G51</f>
        <v/>
      </c>
      <c r="D52" s="13">
        <f>IF(C52&lt;=0.005,0,ROUND(C52*Inputs!$C$8,2))</f>
        <v/>
      </c>
      <c r="E52" s="13">
        <f>IF(C52&lt;=0.005,0,MIN(Inputs!$C$7,C52+D52))</f>
        <v/>
      </c>
      <c r="F52" s="13">
        <f>E52-D52</f>
        <v/>
      </c>
      <c r="G52" s="13">
        <f>ROUND(C52-F52,2)</f>
        <v/>
      </c>
      <c r="H52" s="14" t="n">
        <v>0</v>
      </c>
      <c r="I52" s="11">
        <f>IF(H52=0,"",IF(A52&lt;2,"X not before month 2",IF(H52&lt;MAX(5000,Inputs!$C$7),"X below min",IF(H52&gt;MIN(5000000,0.75*J52),"X above max","OK"))))</f>
        <v/>
      </c>
      <c r="J52" s="13">
        <f>O51</f>
        <v/>
      </c>
      <c r="K52" s="13">
        <f>IF(J52&lt;=0.005,0,ROUND(J52*Inputs!$C$8,2))</f>
        <v/>
      </c>
      <c r="L52" s="13">
        <f>IF(J52&lt;=0.005,0,MIN(Inputs!$C$7,J52+K52))</f>
        <v/>
      </c>
      <c r="M52" s="13">
        <f>L52-K52</f>
        <v/>
      </c>
      <c r="N52" s="13">
        <f>IF(J52&lt;=0.005,0,MIN(H52,J52-M52))</f>
        <v/>
      </c>
      <c r="O52" s="13">
        <f>ROUND(J52-M52-N52,2)</f>
        <v/>
      </c>
    </row>
    <row r="53">
      <c r="A53" s="11" t="n">
        <v>51</v>
      </c>
      <c r="B53" s="12">
        <f>EDATE(Inputs!$C$6,A53-1)</f>
        <v/>
      </c>
      <c r="C53" s="13">
        <f>G52</f>
        <v/>
      </c>
      <c r="D53" s="13">
        <f>IF(C53&lt;=0.005,0,ROUND(C53*Inputs!$C$8,2))</f>
        <v/>
      </c>
      <c r="E53" s="13">
        <f>IF(C53&lt;=0.005,0,MIN(Inputs!$C$7,C53+D53))</f>
        <v/>
      </c>
      <c r="F53" s="13">
        <f>E53-D53</f>
        <v/>
      </c>
      <c r="G53" s="13">
        <f>ROUND(C53-F53,2)</f>
        <v/>
      </c>
      <c r="H53" s="14" t="n">
        <v>0</v>
      </c>
      <c r="I53" s="11">
        <f>IF(H53=0,"",IF(A53&lt;2,"X not before month 2",IF(H53&lt;MAX(5000,Inputs!$C$7),"X below min",IF(H53&gt;MIN(5000000,0.75*J53),"X above max","OK"))))</f>
        <v/>
      </c>
      <c r="J53" s="13">
        <f>O52</f>
        <v/>
      </c>
      <c r="K53" s="13">
        <f>IF(J53&lt;=0.005,0,ROUND(J53*Inputs!$C$8,2))</f>
        <v/>
      </c>
      <c r="L53" s="13">
        <f>IF(J53&lt;=0.005,0,MIN(Inputs!$C$7,J53+K53))</f>
        <v/>
      </c>
      <c r="M53" s="13">
        <f>L53-K53</f>
        <v/>
      </c>
      <c r="N53" s="13">
        <f>IF(J53&lt;=0.005,0,MIN(H53,J53-M53))</f>
        <v/>
      </c>
      <c r="O53" s="13">
        <f>ROUND(J53-M53-N53,2)</f>
        <v/>
      </c>
    </row>
    <row r="54">
      <c r="A54" s="11" t="n">
        <v>52</v>
      </c>
      <c r="B54" s="12">
        <f>EDATE(Inputs!$C$6,A54-1)</f>
        <v/>
      </c>
      <c r="C54" s="13">
        <f>G53</f>
        <v/>
      </c>
      <c r="D54" s="13">
        <f>IF(C54&lt;=0.005,0,ROUND(C54*Inputs!$C$8,2))</f>
        <v/>
      </c>
      <c r="E54" s="13">
        <f>IF(C54&lt;=0.005,0,MIN(Inputs!$C$7,C54+D54))</f>
        <v/>
      </c>
      <c r="F54" s="13">
        <f>E54-D54</f>
        <v/>
      </c>
      <c r="G54" s="13">
        <f>ROUND(C54-F54,2)</f>
        <v/>
      </c>
      <c r="H54" s="14" t="n">
        <v>0</v>
      </c>
      <c r="I54" s="11">
        <f>IF(H54=0,"",IF(A54&lt;2,"X not before month 2",IF(H54&lt;MAX(5000,Inputs!$C$7),"X below min",IF(H54&gt;MIN(5000000,0.75*J54),"X above max","OK"))))</f>
        <v/>
      </c>
      <c r="J54" s="13">
        <f>O53</f>
        <v/>
      </c>
      <c r="K54" s="13">
        <f>IF(J54&lt;=0.005,0,ROUND(J54*Inputs!$C$8,2))</f>
        <v/>
      </c>
      <c r="L54" s="13">
        <f>IF(J54&lt;=0.005,0,MIN(Inputs!$C$7,J54+K54))</f>
        <v/>
      </c>
      <c r="M54" s="13">
        <f>L54-K54</f>
        <v/>
      </c>
      <c r="N54" s="13">
        <f>IF(J54&lt;=0.005,0,MIN(H54,J54-M54))</f>
        <v/>
      </c>
      <c r="O54" s="13">
        <f>ROUND(J54-M54-N54,2)</f>
        <v/>
      </c>
    </row>
    <row r="55">
      <c r="A55" s="11" t="n">
        <v>53</v>
      </c>
      <c r="B55" s="12">
        <f>EDATE(Inputs!$C$6,A55-1)</f>
        <v/>
      </c>
      <c r="C55" s="13">
        <f>G54</f>
        <v/>
      </c>
      <c r="D55" s="13">
        <f>IF(C55&lt;=0.005,0,ROUND(C55*Inputs!$C$8,2))</f>
        <v/>
      </c>
      <c r="E55" s="13">
        <f>IF(C55&lt;=0.005,0,MIN(Inputs!$C$7,C55+D55))</f>
        <v/>
      </c>
      <c r="F55" s="13">
        <f>E55-D55</f>
        <v/>
      </c>
      <c r="G55" s="13">
        <f>ROUND(C55-F55,2)</f>
        <v/>
      </c>
      <c r="H55" s="14" t="n">
        <v>0</v>
      </c>
      <c r="I55" s="11">
        <f>IF(H55=0,"",IF(A55&lt;2,"X not before month 2",IF(H55&lt;MAX(5000,Inputs!$C$7),"X below min",IF(H55&gt;MIN(5000000,0.75*J55),"X above max","OK"))))</f>
        <v/>
      </c>
      <c r="J55" s="13">
        <f>O54</f>
        <v/>
      </c>
      <c r="K55" s="13">
        <f>IF(J55&lt;=0.005,0,ROUND(J55*Inputs!$C$8,2))</f>
        <v/>
      </c>
      <c r="L55" s="13">
        <f>IF(J55&lt;=0.005,0,MIN(Inputs!$C$7,J55+K55))</f>
        <v/>
      </c>
      <c r="M55" s="13">
        <f>L55-K55</f>
        <v/>
      </c>
      <c r="N55" s="13">
        <f>IF(J55&lt;=0.005,0,MIN(H55,J55-M55))</f>
        <v/>
      </c>
      <c r="O55" s="13">
        <f>ROUND(J55-M55-N55,2)</f>
        <v/>
      </c>
    </row>
    <row r="56">
      <c r="A56" s="11" t="n">
        <v>54</v>
      </c>
      <c r="B56" s="12">
        <f>EDATE(Inputs!$C$6,A56-1)</f>
        <v/>
      </c>
      <c r="C56" s="13">
        <f>G55</f>
        <v/>
      </c>
      <c r="D56" s="13">
        <f>IF(C56&lt;=0.005,0,ROUND(C56*Inputs!$C$8,2))</f>
        <v/>
      </c>
      <c r="E56" s="13">
        <f>IF(C56&lt;=0.005,0,MIN(Inputs!$C$7,C56+D56))</f>
        <v/>
      </c>
      <c r="F56" s="13">
        <f>E56-D56</f>
        <v/>
      </c>
      <c r="G56" s="13">
        <f>ROUND(C56-F56,2)</f>
        <v/>
      </c>
      <c r="H56" s="14" t="n">
        <v>0</v>
      </c>
      <c r="I56" s="11">
        <f>IF(H56=0,"",IF(A56&lt;2,"X not before month 2",IF(H56&lt;MAX(5000,Inputs!$C$7),"X below min",IF(H56&gt;MIN(5000000,0.75*J56),"X above max","OK"))))</f>
        <v/>
      </c>
      <c r="J56" s="13">
        <f>O55</f>
        <v/>
      </c>
      <c r="K56" s="13">
        <f>IF(J56&lt;=0.005,0,ROUND(J56*Inputs!$C$8,2))</f>
        <v/>
      </c>
      <c r="L56" s="13">
        <f>IF(J56&lt;=0.005,0,MIN(Inputs!$C$7,J56+K56))</f>
        <v/>
      </c>
      <c r="M56" s="13">
        <f>L56-K56</f>
        <v/>
      </c>
      <c r="N56" s="13">
        <f>IF(J56&lt;=0.005,0,MIN(H56,J56-M56))</f>
        <v/>
      </c>
      <c r="O56" s="13">
        <f>ROUND(J56-M56-N56,2)</f>
        <v/>
      </c>
    </row>
    <row r="57">
      <c r="A57" s="11" t="n">
        <v>55</v>
      </c>
      <c r="B57" s="12">
        <f>EDATE(Inputs!$C$6,A57-1)</f>
        <v/>
      </c>
      <c r="C57" s="13">
        <f>G56</f>
        <v/>
      </c>
      <c r="D57" s="13">
        <f>IF(C57&lt;=0.005,0,ROUND(C57*Inputs!$C$8,2))</f>
        <v/>
      </c>
      <c r="E57" s="13">
        <f>IF(C57&lt;=0.005,0,MIN(Inputs!$C$7,C57+D57))</f>
        <v/>
      </c>
      <c r="F57" s="13">
        <f>E57-D57</f>
        <v/>
      </c>
      <c r="G57" s="13">
        <f>ROUND(C57-F57,2)</f>
        <v/>
      </c>
      <c r="H57" s="14" t="n">
        <v>0</v>
      </c>
      <c r="I57" s="11">
        <f>IF(H57=0,"",IF(A57&lt;2,"X not before month 2",IF(H57&lt;MAX(5000,Inputs!$C$7),"X below min",IF(H57&gt;MIN(5000000,0.75*J57),"X above max","OK"))))</f>
        <v/>
      </c>
      <c r="J57" s="13">
        <f>O56</f>
        <v/>
      </c>
      <c r="K57" s="13">
        <f>IF(J57&lt;=0.005,0,ROUND(J57*Inputs!$C$8,2))</f>
        <v/>
      </c>
      <c r="L57" s="13">
        <f>IF(J57&lt;=0.005,0,MIN(Inputs!$C$7,J57+K57))</f>
        <v/>
      </c>
      <c r="M57" s="13">
        <f>L57-K57</f>
        <v/>
      </c>
      <c r="N57" s="13">
        <f>IF(J57&lt;=0.005,0,MIN(H57,J57-M57))</f>
        <v/>
      </c>
      <c r="O57" s="13">
        <f>ROUND(J57-M57-N57,2)</f>
        <v/>
      </c>
    </row>
    <row r="58">
      <c r="A58" s="11" t="n">
        <v>56</v>
      </c>
      <c r="B58" s="12">
        <f>EDATE(Inputs!$C$6,A58-1)</f>
        <v/>
      </c>
      <c r="C58" s="13">
        <f>G57</f>
        <v/>
      </c>
      <c r="D58" s="13">
        <f>IF(C58&lt;=0.005,0,ROUND(C58*Inputs!$C$8,2))</f>
        <v/>
      </c>
      <c r="E58" s="13">
        <f>IF(C58&lt;=0.005,0,MIN(Inputs!$C$7,C58+D58))</f>
        <v/>
      </c>
      <c r="F58" s="13">
        <f>E58-D58</f>
        <v/>
      </c>
      <c r="G58" s="13">
        <f>ROUND(C58-F58,2)</f>
        <v/>
      </c>
      <c r="H58" s="14" t="n">
        <v>0</v>
      </c>
      <c r="I58" s="11">
        <f>IF(H58=0,"",IF(A58&lt;2,"X not before month 2",IF(H58&lt;MAX(5000,Inputs!$C$7),"X below min",IF(H58&gt;MIN(5000000,0.75*J58),"X above max","OK"))))</f>
        <v/>
      </c>
      <c r="J58" s="13">
        <f>O57</f>
        <v/>
      </c>
      <c r="K58" s="13">
        <f>IF(J58&lt;=0.005,0,ROUND(J58*Inputs!$C$8,2))</f>
        <v/>
      </c>
      <c r="L58" s="13">
        <f>IF(J58&lt;=0.005,0,MIN(Inputs!$C$7,J58+K58))</f>
        <v/>
      </c>
      <c r="M58" s="13">
        <f>L58-K58</f>
        <v/>
      </c>
      <c r="N58" s="13">
        <f>IF(J58&lt;=0.005,0,MIN(H58,J58-M58))</f>
        <v/>
      </c>
      <c r="O58" s="13">
        <f>ROUND(J58-M58-N58,2)</f>
        <v/>
      </c>
    </row>
    <row r="59">
      <c r="A59" s="11" t="n">
        <v>57</v>
      </c>
      <c r="B59" s="12">
        <f>EDATE(Inputs!$C$6,A59-1)</f>
        <v/>
      </c>
      <c r="C59" s="13">
        <f>G58</f>
        <v/>
      </c>
      <c r="D59" s="13">
        <f>IF(C59&lt;=0.005,0,ROUND(C59*Inputs!$C$8,2))</f>
        <v/>
      </c>
      <c r="E59" s="13">
        <f>IF(C59&lt;=0.005,0,MIN(Inputs!$C$7,C59+D59))</f>
        <v/>
      </c>
      <c r="F59" s="13">
        <f>E59-D59</f>
        <v/>
      </c>
      <c r="G59" s="13">
        <f>ROUND(C59-F59,2)</f>
        <v/>
      </c>
      <c r="H59" s="14" t="n">
        <v>0</v>
      </c>
      <c r="I59" s="11">
        <f>IF(H59=0,"",IF(A59&lt;2,"X not before month 2",IF(H59&lt;MAX(5000,Inputs!$C$7),"X below min",IF(H59&gt;MIN(5000000,0.75*J59),"X above max","OK"))))</f>
        <v/>
      </c>
      <c r="J59" s="13">
        <f>O58</f>
        <v/>
      </c>
      <c r="K59" s="13">
        <f>IF(J59&lt;=0.005,0,ROUND(J59*Inputs!$C$8,2))</f>
        <v/>
      </c>
      <c r="L59" s="13">
        <f>IF(J59&lt;=0.005,0,MIN(Inputs!$C$7,J59+K59))</f>
        <v/>
      </c>
      <c r="M59" s="13">
        <f>L59-K59</f>
        <v/>
      </c>
      <c r="N59" s="13">
        <f>IF(J59&lt;=0.005,0,MIN(H59,J59-M59))</f>
        <v/>
      </c>
      <c r="O59" s="13">
        <f>ROUND(J59-M59-N59,2)</f>
        <v/>
      </c>
    </row>
    <row r="60">
      <c r="A60" s="11" t="n">
        <v>58</v>
      </c>
      <c r="B60" s="12">
        <f>EDATE(Inputs!$C$6,A60-1)</f>
        <v/>
      </c>
      <c r="C60" s="13">
        <f>G59</f>
        <v/>
      </c>
      <c r="D60" s="13">
        <f>IF(C60&lt;=0.005,0,ROUND(C60*Inputs!$C$8,2))</f>
        <v/>
      </c>
      <c r="E60" s="13">
        <f>IF(C60&lt;=0.005,0,MIN(Inputs!$C$7,C60+D60))</f>
        <v/>
      </c>
      <c r="F60" s="13">
        <f>E60-D60</f>
        <v/>
      </c>
      <c r="G60" s="13">
        <f>ROUND(C60-F60,2)</f>
        <v/>
      </c>
      <c r="H60" s="14" t="n">
        <v>0</v>
      </c>
      <c r="I60" s="11">
        <f>IF(H60=0,"",IF(A60&lt;2,"X not before month 2",IF(H60&lt;MAX(5000,Inputs!$C$7),"X below min",IF(H60&gt;MIN(5000000,0.75*J60),"X above max","OK"))))</f>
        <v/>
      </c>
      <c r="J60" s="13">
        <f>O59</f>
        <v/>
      </c>
      <c r="K60" s="13">
        <f>IF(J60&lt;=0.005,0,ROUND(J60*Inputs!$C$8,2))</f>
        <v/>
      </c>
      <c r="L60" s="13">
        <f>IF(J60&lt;=0.005,0,MIN(Inputs!$C$7,J60+K60))</f>
        <v/>
      </c>
      <c r="M60" s="13">
        <f>L60-K60</f>
        <v/>
      </c>
      <c r="N60" s="13">
        <f>IF(J60&lt;=0.005,0,MIN(H60,J60-M60))</f>
        <v/>
      </c>
      <c r="O60" s="13">
        <f>ROUND(J60-M60-N60,2)</f>
        <v/>
      </c>
    </row>
    <row r="61">
      <c r="A61" s="11" t="n">
        <v>59</v>
      </c>
      <c r="B61" s="12">
        <f>EDATE(Inputs!$C$6,A61-1)</f>
        <v/>
      </c>
      <c r="C61" s="13">
        <f>G60</f>
        <v/>
      </c>
      <c r="D61" s="13">
        <f>IF(C61&lt;=0.005,0,ROUND(C61*Inputs!$C$8,2))</f>
        <v/>
      </c>
      <c r="E61" s="13">
        <f>IF(C61&lt;=0.005,0,MIN(Inputs!$C$7,C61+D61))</f>
        <v/>
      </c>
      <c r="F61" s="13">
        <f>E61-D61</f>
        <v/>
      </c>
      <c r="G61" s="13">
        <f>ROUND(C61-F61,2)</f>
        <v/>
      </c>
      <c r="H61" s="14" t="n">
        <v>0</v>
      </c>
      <c r="I61" s="11">
        <f>IF(H61=0,"",IF(A61&lt;2,"X not before month 2",IF(H61&lt;MAX(5000,Inputs!$C$7),"X below min",IF(H61&gt;MIN(5000000,0.75*J61),"X above max","OK"))))</f>
        <v/>
      </c>
      <c r="J61" s="13">
        <f>O60</f>
        <v/>
      </c>
      <c r="K61" s="13">
        <f>IF(J61&lt;=0.005,0,ROUND(J61*Inputs!$C$8,2))</f>
        <v/>
      </c>
      <c r="L61" s="13">
        <f>IF(J61&lt;=0.005,0,MIN(Inputs!$C$7,J61+K61))</f>
        <v/>
      </c>
      <c r="M61" s="13">
        <f>L61-K61</f>
        <v/>
      </c>
      <c r="N61" s="13">
        <f>IF(J61&lt;=0.005,0,MIN(H61,J61-M61))</f>
        <v/>
      </c>
      <c r="O61" s="13">
        <f>ROUND(J61-M61-N61,2)</f>
        <v/>
      </c>
    </row>
    <row r="62">
      <c r="A62" s="11" t="n">
        <v>60</v>
      </c>
      <c r="B62" s="12">
        <f>EDATE(Inputs!$C$6,A62-1)</f>
        <v/>
      </c>
      <c r="C62" s="13">
        <f>G61</f>
        <v/>
      </c>
      <c r="D62" s="13">
        <f>IF(C62&lt;=0.005,0,ROUND(C62*Inputs!$C$8,2))</f>
        <v/>
      </c>
      <c r="E62" s="13">
        <f>IF(C62&lt;=0.005,0,MIN(Inputs!$C$7,C62+D62))</f>
        <v/>
      </c>
      <c r="F62" s="13">
        <f>E62-D62</f>
        <v/>
      </c>
      <c r="G62" s="13">
        <f>ROUND(C62-F62,2)</f>
        <v/>
      </c>
      <c r="H62" s="14" t="n">
        <v>0</v>
      </c>
      <c r="I62" s="11">
        <f>IF(H62=0,"",IF(A62&lt;2,"X not before month 2",IF(H62&lt;MAX(5000,Inputs!$C$7),"X below min",IF(H62&gt;MIN(5000000,0.75*J62),"X above max","OK"))))</f>
        <v/>
      </c>
      <c r="J62" s="13">
        <f>O61</f>
        <v/>
      </c>
      <c r="K62" s="13">
        <f>IF(J62&lt;=0.005,0,ROUND(J62*Inputs!$C$8,2))</f>
        <v/>
      </c>
      <c r="L62" s="13">
        <f>IF(J62&lt;=0.005,0,MIN(Inputs!$C$7,J62+K62))</f>
        <v/>
      </c>
      <c r="M62" s="13">
        <f>L62-K62</f>
        <v/>
      </c>
      <c r="N62" s="13">
        <f>IF(J62&lt;=0.005,0,MIN(H62,J62-M62))</f>
        <v/>
      </c>
      <c r="O62" s="13">
        <f>ROUND(J62-M62-N62,2)</f>
        <v/>
      </c>
    </row>
    <row r="63">
      <c r="A63" s="11" t="n">
        <v>61</v>
      </c>
      <c r="B63" s="12">
        <f>EDATE(Inputs!$C$6,A63-1)</f>
        <v/>
      </c>
      <c r="C63" s="13">
        <f>G62</f>
        <v/>
      </c>
      <c r="D63" s="13">
        <f>IF(C63&lt;=0.005,0,ROUND(C63*Inputs!$C$8,2))</f>
        <v/>
      </c>
      <c r="E63" s="13">
        <f>IF(C63&lt;=0.005,0,MIN(Inputs!$C$7,C63+D63))</f>
        <v/>
      </c>
      <c r="F63" s="13">
        <f>E63-D63</f>
        <v/>
      </c>
      <c r="G63" s="13">
        <f>ROUND(C63-F63,2)</f>
        <v/>
      </c>
      <c r="H63" s="14" t="n">
        <v>0</v>
      </c>
      <c r="I63" s="11">
        <f>IF(H63=0,"",IF(A63&lt;2,"X not before month 2",IF(H63&lt;MAX(5000,Inputs!$C$7),"X below min",IF(H63&gt;MIN(5000000,0.75*J63),"X above max","OK"))))</f>
        <v/>
      </c>
      <c r="J63" s="13">
        <f>O62</f>
        <v/>
      </c>
      <c r="K63" s="13">
        <f>IF(J63&lt;=0.005,0,ROUND(J63*Inputs!$C$8,2))</f>
        <v/>
      </c>
      <c r="L63" s="13">
        <f>IF(J63&lt;=0.005,0,MIN(Inputs!$C$7,J63+K63))</f>
        <v/>
      </c>
      <c r="M63" s="13">
        <f>L63-K63</f>
        <v/>
      </c>
      <c r="N63" s="13">
        <f>IF(J63&lt;=0.005,0,MIN(H63,J63-M63))</f>
        <v/>
      </c>
      <c r="O63" s="13">
        <f>ROUND(J63-M63-N63,2)</f>
        <v/>
      </c>
    </row>
    <row r="64">
      <c r="A64" s="11" t="n">
        <v>62</v>
      </c>
      <c r="B64" s="12">
        <f>EDATE(Inputs!$C$6,A64-1)</f>
        <v/>
      </c>
      <c r="C64" s="13">
        <f>G63</f>
        <v/>
      </c>
      <c r="D64" s="13">
        <f>IF(C64&lt;=0.005,0,ROUND(C64*Inputs!$C$8,2))</f>
        <v/>
      </c>
      <c r="E64" s="13">
        <f>IF(C64&lt;=0.005,0,MIN(Inputs!$C$7,C64+D64))</f>
        <v/>
      </c>
      <c r="F64" s="13">
        <f>E64-D64</f>
        <v/>
      </c>
      <c r="G64" s="13">
        <f>ROUND(C64-F64,2)</f>
        <v/>
      </c>
      <c r="H64" s="14" t="n">
        <v>0</v>
      </c>
      <c r="I64" s="11">
        <f>IF(H64=0,"",IF(A64&lt;2,"X not before month 2",IF(H64&lt;MAX(5000,Inputs!$C$7),"X below min",IF(H64&gt;MIN(5000000,0.75*J64),"X above max","OK"))))</f>
        <v/>
      </c>
      <c r="J64" s="13">
        <f>O63</f>
        <v/>
      </c>
      <c r="K64" s="13">
        <f>IF(J64&lt;=0.005,0,ROUND(J64*Inputs!$C$8,2))</f>
        <v/>
      </c>
      <c r="L64" s="13">
        <f>IF(J64&lt;=0.005,0,MIN(Inputs!$C$7,J64+K64))</f>
        <v/>
      </c>
      <c r="M64" s="13">
        <f>L64-K64</f>
        <v/>
      </c>
      <c r="N64" s="13">
        <f>IF(J64&lt;=0.005,0,MIN(H64,J64-M64))</f>
        <v/>
      </c>
      <c r="O64" s="13">
        <f>ROUND(J64-M64-N64,2)</f>
        <v/>
      </c>
    </row>
    <row r="65">
      <c r="A65" s="11" t="n">
        <v>63</v>
      </c>
      <c r="B65" s="12">
        <f>EDATE(Inputs!$C$6,A65-1)</f>
        <v/>
      </c>
      <c r="C65" s="13">
        <f>G64</f>
        <v/>
      </c>
      <c r="D65" s="13">
        <f>IF(C65&lt;=0.005,0,ROUND(C65*Inputs!$C$8,2))</f>
        <v/>
      </c>
      <c r="E65" s="13">
        <f>IF(C65&lt;=0.005,0,MIN(Inputs!$C$7,C65+D65))</f>
        <v/>
      </c>
      <c r="F65" s="13">
        <f>E65-D65</f>
        <v/>
      </c>
      <c r="G65" s="13">
        <f>ROUND(C65-F65,2)</f>
        <v/>
      </c>
      <c r="H65" s="14" t="n">
        <v>0</v>
      </c>
      <c r="I65" s="11">
        <f>IF(H65=0,"",IF(A65&lt;2,"X not before month 2",IF(H65&lt;MAX(5000,Inputs!$C$7),"X below min",IF(H65&gt;MIN(5000000,0.75*J65),"X above max","OK"))))</f>
        <v/>
      </c>
      <c r="J65" s="13">
        <f>O64</f>
        <v/>
      </c>
      <c r="K65" s="13">
        <f>IF(J65&lt;=0.005,0,ROUND(J65*Inputs!$C$8,2))</f>
        <v/>
      </c>
      <c r="L65" s="13">
        <f>IF(J65&lt;=0.005,0,MIN(Inputs!$C$7,J65+K65))</f>
        <v/>
      </c>
      <c r="M65" s="13">
        <f>L65-K65</f>
        <v/>
      </c>
      <c r="N65" s="13">
        <f>IF(J65&lt;=0.005,0,MIN(H65,J65-M65))</f>
        <v/>
      </c>
      <c r="O65" s="13">
        <f>ROUND(J65-M65-N65,2)</f>
        <v/>
      </c>
    </row>
    <row r="66">
      <c r="A66" s="11" t="n">
        <v>64</v>
      </c>
      <c r="B66" s="12">
        <f>EDATE(Inputs!$C$6,A66-1)</f>
        <v/>
      </c>
      <c r="C66" s="13">
        <f>G65</f>
        <v/>
      </c>
      <c r="D66" s="13">
        <f>IF(C66&lt;=0.005,0,ROUND(C66*Inputs!$C$8,2))</f>
        <v/>
      </c>
      <c r="E66" s="13">
        <f>IF(C66&lt;=0.005,0,MIN(Inputs!$C$7,C66+D66))</f>
        <v/>
      </c>
      <c r="F66" s="13">
        <f>E66-D66</f>
        <v/>
      </c>
      <c r="G66" s="13">
        <f>ROUND(C66-F66,2)</f>
        <v/>
      </c>
      <c r="H66" s="14" t="n">
        <v>0</v>
      </c>
      <c r="I66" s="11">
        <f>IF(H66=0,"",IF(A66&lt;2,"X not before month 2",IF(H66&lt;MAX(5000,Inputs!$C$7),"X below min",IF(H66&gt;MIN(5000000,0.75*J66),"X above max","OK"))))</f>
        <v/>
      </c>
      <c r="J66" s="13">
        <f>O65</f>
        <v/>
      </c>
      <c r="K66" s="13">
        <f>IF(J66&lt;=0.005,0,ROUND(J66*Inputs!$C$8,2))</f>
        <v/>
      </c>
      <c r="L66" s="13">
        <f>IF(J66&lt;=0.005,0,MIN(Inputs!$C$7,J66+K66))</f>
        <v/>
      </c>
      <c r="M66" s="13">
        <f>L66-K66</f>
        <v/>
      </c>
      <c r="N66" s="13">
        <f>IF(J66&lt;=0.005,0,MIN(H66,J66-M66))</f>
        <v/>
      </c>
      <c r="O66" s="13">
        <f>ROUND(J66-M66-N66,2)</f>
        <v/>
      </c>
    </row>
    <row r="67">
      <c r="A67" s="11" t="n">
        <v>65</v>
      </c>
      <c r="B67" s="12">
        <f>EDATE(Inputs!$C$6,A67-1)</f>
        <v/>
      </c>
      <c r="C67" s="13">
        <f>G66</f>
        <v/>
      </c>
      <c r="D67" s="13">
        <f>IF(C67&lt;=0.005,0,ROUND(C67*Inputs!$C$8,2))</f>
        <v/>
      </c>
      <c r="E67" s="13">
        <f>IF(C67&lt;=0.005,0,MIN(Inputs!$C$7,C67+D67))</f>
        <v/>
      </c>
      <c r="F67" s="13">
        <f>E67-D67</f>
        <v/>
      </c>
      <c r="G67" s="13">
        <f>ROUND(C67-F67,2)</f>
        <v/>
      </c>
      <c r="H67" s="14" t="n">
        <v>0</v>
      </c>
      <c r="I67" s="11">
        <f>IF(H67=0,"",IF(A67&lt;2,"X not before month 2",IF(H67&lt;MAX(5000,Inputs!$C$7),"X below min",IF(H67&gt;MIN(5000000,0.75*J67),"X above max","OK"))))</f>
        <v/>
      </c>
      <c r="J67" s="13">
        <f>O66</f>
        <v/>
      </c>
      <c r="K67" s="13">
        <f>IF(J67&lt;=0.005,0,ROUND(J67*Inputs!$C$8,2))</f>
        <v/>
      </c>
      <c r="L67" s="13">
        <f>IF(J67&lt;=0.005,0,MIN(Inputs!$C$7,J67+K67))</f>
        <v/>
      </c>
      <c r="M67" s="13">
        <f>L67-K67</f>
        <v/>
      </c>
      <c r="N67" s="13">
        <f>IF(J67&lt;=0.005,0,MIN(H67,J67-M67))</f>
        <v/>
      </c>
      <c r="O67" s="13">
        <f>ROUND(J67-M67-N67,2)</f>
        <v/>
      </c>
    </row>
    <row r="68">
      <c r="A68" s="11" t="n">
        <v>66</v>
      </c>
      <c r="B68" s="12">
        <f>EDATE(Inputs!$C$6,A68-1)</f>
        <v/>
      </c>
      <c r="C68" s="13">
        <f>G67</f>
        <v/>
      </c>
      <c r="D68" s="13">
        <f>IF(C68&lt;=0.005,0,ROUND(C68*Inputs!$C$8,2))</f>
        <v/>
      </c>
      <c r="E68" s="13">
        <f>IF(C68&lt;=0.005,0,MIN(Inputs!$C$7,C68+D68))</f>
        <v/>
      </c>
      <c r="F68" s="13">
        <f>E68-D68</f>
        <v/>
      </c>
      <c r="G68" s="13">
        <f>ROUND(C68-F68,2)</f>
        <v/>
      </c>
      <c r="H68" s="14" t="n">
        <v>0</v>
      </c>
      <c r="I68" s="11">
        <f>IF(H68=0,"",IF(A68&lt;2,"X not before month 2",IF(H68&lt;MAX(5000,Inputs!$C$7),"X below min",IF(H68&gt;MIN(5000000,0.75*J68),"X above max","OK"))))</f>
        <v/>
      </c>
      <c r="J68" s="13">
        <f>O67</f>
        <v/>
      </c>
      <c r="K68" s="13">
        <f>IF(J68&lt;=0.005,0,ROUND(J68*Inputs!$C$8,2))</f>
        <v/>
      </c>
      <c r="L68" s="13">
        <f>IF(J68&lt;=0.005,0,MIN(Inputs!$C$7,J68+K68))</f>
        <v/>
      </c>
      <c r="M68" s="13">
        <f>L68-K68</f>
        <v/>
      </c>
      <c r="N68" s="13">
        <f>IF(J68&lt;=0.005,0,MIN(H68,J68-M68))</f>
        <v/>
      </c>
      <c r="O68" s="13">
        <f>ROUND(J68-M68-N68,2)</f>
        <v/>
      </c>
    </row>
    <row r="69">
      <c r="A69" s="11" t="n">
        <v>67</v>
      </c>
      <c r="B69" s="12">
        <f>EDATE(Inputs!$C$6,A69-1)</f>
        <v/>
      </c>
      <c r="C69" s="13">
        <f>G68</f>
        <v/>
      </c>
      <c r="D69" s="13">
        <f>IF(C69&lt;=0.005,0,ROUND(C69*Inputs!$C$8,2))</f>
        <v/>
      </c>
      <c r="E69" s="13">
        <f>IF(C69&lt;=0.005,0,MIN(Inputs!$C$7,C69+D69))</f>
        <v/>
      </c>
      <c r="F69" s="13">
        <f>E69-D69</f>
        <v/>
      </c>
      <c r="G69" s="13">
        <f>ROUND(C69-F69,2)</f>
        <v/>
      </c>
      <c r="H69" s="14" t="n">
        <v>0</v>
      </c>
      <c r="I69" s="11">
        <f>IF(H69=0,"",IF(A69&lt;2,"X not before month 2",IF(H69&lt;MAX(5000,Inputs!$C$7),"X below min",IF(H69&gt;MIN(5000000,0.75*J69),"X above max","OK"))))</f>
        <v/>
      </c>
      <c r="J69" s="13">
        <f>O68</f>
        <v/>
      </c>
      <c r="K69" s="13">
        <f>IF(J69&lt;=0.005,0,ROUND(J69*Inputs!$C$8,2))</f>
        <v/>
      </c>
      <c r="L69" s="13">
        <f>IF(J69&lt;=0.005,0,MIN(Inputs!$C$7,J69+K69))</f>
        <v/>
      </c>
      <c r="M69" s="13">
        <f>L69-K69</f>
        <v/>
      </c>
      <c r="N69" s="13">
        <f>IF(J69&lt;=0.005,0,MIN(H69,J69-M69))</f>
        <v/>
      </c>
      <c r="O69" s="13">
        <f>ROUND(J69-M69-N69,2)</f>
        <v/>
      </c>
    </row>
    <row r="70">
      <c r="A70" s="11" t="n">
        <v>68</v>
      </c>
      <c r="B70" s="12">
        <f>EDATE(Inputs!$C$6,A70-1)</f>
        <v/>
      </c>
      <c r="C70" s="13">
        <f>G69</f>
        <v/>
      </c>
      <c r="D70" s="13">
        <f>IF(C70&lt;=0.005,0,ROUND(C70*Inputs!$C$8,2))</f>
        <v/>
      </c>
      <c r="E70" s="13">
        <f>IF(C70&lt;=0.005,0,MIN(Inputs!$C$7,C70+D70))</f>
        <v/>
      </c>
      <c r="F70" s="13">
        <f>E70-D70</f>
        <v/>
      </c>
      <c r="G70" s="13">
        <f>ROUND(C70-F70,2)</f>
        <v/>
      </c>
      <c r="H70" s="14" t="n">
        <v>0</v>
      </c>
      <c r="I70" s="11">
        <f>IF(H70=0,"",IF(A70&lt;2,"X not before month 2",IF(H70&lt;MAX(5000,Inputs!$C$7),"X below min",IF(H70&gt;MIN(5000000,0.75*J70),"X above max","OK"))))</f>
        <v/>
      </c>
      <c r="J70" s="13">
        <f>O69</f>
        <v/>
      </c>
      <c r="K70" s="13">
        <f>IF(J70&lt;=0.005,0,ROUND(J70*Inputs!$C$8,2))</f>
        <v/>
      </c>
      <c r="L70" s="13">
        <f>IF(J70&lt;=0.005,0,MIN(Inputs!$C$7,J70+K70))</f>
        <v/>
      </c>
      <c r="M70" s="13">
        <f>L70-K70</f>
        <v/>
      </c>
      <c r="N70" s="13">
        <f>IF(J70&lt;=0.005,0,MIN(H70,J70-M70))</f>
        <v/>
      </c>
      <c r="O70" s="13">
        <f>ROUND(J70-M70-N70,2)</f>
        <v/>
      </c>
    </row>
    <row r="71">
      <c r="A71" s="11" t="n">
        <v>69</v>
      </c>
      <c r="B71" s="12">
        <f>EDATE(Inputs!$C$6,A71-1)</f>
        <v/>
      </c>
      <c r="C71" s="13">
        <f>G70</f>
        <v/>
      </c>
      <c r="D71" s="13">
        <f>IF(C71&lt;=0.005,0,ROUND(C71*Inputs!$C$8,2))</f>
        <v/>
      </c>
      <c r="E71" s="13">
        <f>IF(C71&lt;=0.005,0,MIN(Inputs!$C$7,C71+D71))</f>
        <v/>
      </c>
      <c r="F71" s="13">
        <f>E71-D71</f>
        <v/>
      </c>
      <c r="G71" s="13">
        <f>ROUND(C71-F71,2)</f>
        <v/>
      </c>
      <c r="H71" s="14" t="n">
        <v>0</v>
      </c>
      <c r="I71" s="11">
        <f>IF(H71=0,"",IF(A71&lt;2,"X not before month 2",IF(H71&lt;MAX(5000,Inputs!$C$7),"X below min",IF(H71&gt;MIN(5000000,0.75*J71),"X above max","OK"))))</f>
        <v/>
      </c>
      <c r="J71" s="13">
        <f>O70</f>
        <v/>
      </c>
      <c r="K71" s="13">
        <f>IF(J71&lt;=0.005,0,ROUND(J71*Inputs!$C$8,2))</f>
        <v/>
      </c>
      <c r="L71" s="13">
        <f>IF(J71&lt;=0.005,0,MIN(Inputs!$C$7,J71+K71))</f>
        <v/>
      </c>
      <c r="M71" s="13">
        <f>L71-K71</f>
        <v/>
      </c>
      <c r="N71" s="13">
        <f>IF(J71&lt;=0.005,0,MIN(H71,J71-M71))</f>
        <v/>
      </c>
      <c r="O71" s="13">
        <f>ROUND(J71-M71-N71,2)</f>
        <v/>
      </c>
    </row>
    <row r="72">
      <c r="A72" s="11" t="n">
        <v>70</v>
      </c>
      <c r="B72" s="12">
        <f>EDATE(Inputs!$C$6,A72-1)</f>
        <v/>
      </c>
      <c r="C72" s="13">
        <f>G71</f>
        <v/>
      </c>
      <c r="D72" s="13">
        <f>IF(C72&lt;=0.005,0,ROUND(C72*Inputs!$C$8,2))</f>
        <v/>
      </c>
      <c r="E72" s="13">
        <f>IF(C72&lt;=0.005,0,MIN(Inputs!$C$7,C72+D72))</f>
        <v/>
      </c>
      <c r="F72" s="13">
        <f>E72-D72</f>
        <v/>
      </c>
      <c r="G72" s="13">
        <f>ROUND(C72-F72,2)</f>
        <v/>
      </c>
      <c r="H72" s="14" t="n">
        <v>0</v>
      </c>
      <c r="I72" s="11">
        <f>IF(H72=0,"",IF(A72&lt;2,"X not before month 2",IF(H72&lt;MAX(5000,Inputs!$C$7),"X below min",IF(H72&gt;MIN(5000000,0.75*J72),"X above max","OK"))))</f>
        <v/>
      </c>
      <c r="J72" s="13">
        <f>O71</f>
        <v/>
      </c>
      <c r="K72" s="13">
        <f>IF(J72&lt;=0.005,0,ROUND(J72*Inputs!$C$8,2))</f>
        <v/>
      </c>
      <c r="L72" s="13">
        <f>IF(J72&lt;=0.005,0,MIN(Inputs!$C$7,J72+K72))</f>
        <v/>
      </c>
      <c r="M72" s="13">
        <f>L72-K72</f>
        <v/>
      </c>
      <c r="N72" s="13">
        <f>IF(J72&lt;=0.005,0,MIN(H72,J72-M72))</f>
        <v/>
      </c>
      <c r="O72" s="13">
        <f>ROUND(J72-M72-N72,2)</f>
        <v/>
      </c>
    </row>
    <row r="73">
      <c r="A73" s="11" t="n">
        <v>71</v>
      </c>
      <c r="B73" s="12">
        <f>EDATE(Inputs!$C$6,A73-1)</f>
        <v/>
      </c>
      <c r="C73" s="13">
        <f>G72</f>
        <v/>
      </c>
      <c r="D73" s="13">
        <f>IF(C73&lt;=0.005,0,ROUND(C73*Inputs!$C$8,2))</f>
        <v/>
      </c>
      <c r="E73" s="13">
        <f>IF(C73&lt;=0.005,0,MIN(Inputs!$C$7,C73+D73))</f>
        <v/>
      </c>
      <c r="F73" s="13">
        <f>E73-D73</f>
        <v/>
      </c>
      <c r="G73" s="13">
        <f>ROUND(C73-F73,2)</f>
        <v/>
      </c>
      <c r="H73" s="14" t="n">
        <v>0</v>
      </c>
      <c r="I73" s="11">
        <f>IF(H73=0,"",IF(A73&lt;2,"X not before month 2",IF(H73&lt;MAX(5000,Inputs!$C$7),"X below min",IF(H73&gt;MIN(5000000,0.75*J73),"X above max","OK"))))</f>
        <v/>
      </c>
      <c r="J73" s="13">
        <f>O72</f>
        <v/>
      </c>
      <c r="K73" s="13">
        <f>IF(J73&lt;=0.005,0,ROUND(J73*Inputs!$C$8,2))</f>
        <v/>
      </c>
      <c r="L73" s="13">
        <f>IF(J73&lt;=0.005,0,MIN(Inputs!$C$7,J73+K73))</f>
        <v/>
      </c>
      <c r="M73" s="13">
        <f>L73-K73</f>
        <v/>
      </c>
      <c r="N73" s="13">
        <f>IF(J73&lt;=0.005,0,MIN(H73,J73-M73))</f>
        <v/>
      </c>
      <c r="O73" s="13">
        <f>ROUND(J73-M73-N73,2)</f>
        <v/>
      </c>
    </row>
    <row r="74">
      <c r="A74" s="11" t="n">
        <v>72</v>
      </c>
      <c r="B74" s="12">
        <f>EDATE(Inputs!$C$6,A74-1)</f>
        <v/>
      </c>
      <c r="C74" s="13">
        <f>G73</f>
        <v/>
      </c>
      <c r="D74" s="13">
        <f>IF(C74&lt;=0.005,0,ROUND(C74*Inputs!$C$8,2))</f>
        <v/>
      </c>
      <c r="E74" s="13">
        <f>IF(C74&lt;=0.005,0,MIN(Inputs!$C$7,C74+D74))</f>
        <v/>
      </c>
      <c r="F74" s="13">
        <f>E74-D74</f>
        <v/>
      </c>
      <c r="G74" s="13">
        <f>ROUND(C74-F74,2)</f>
        <v/>
      </c>
      <c r="H74" s="14" t="n">
        <v>0</v>
      </c>
      <c r="I74" s="11">
        <f>IF(H74=0,"",IF(A74&lt;2,"X not before month 2",IF(H74&lt;MAX(5000,Inputs!$C$7),"X below min",IF(H74&gt;MIN(5000000,0.75*J74),"X above max","OK"))))</f>
        <v/>
      </c>
      <c r="J74" s="13">
        <f>O73</f>
        <v/>
      </c>
      <c r="K74" s="13">
        <f>IF(J74&lt;=0.005,0,ROUND(J74*Inputs!$C$8,2))</f>
        <v/>
      </c>
      <c r="L74" s="13">
        <f>IF(J74&lt;=0.005,0,MIN(Inputs!$C$7,J74+K74))</f>
        <v/>
      </c>
      <c r="M74" s="13">
        <f>L74-K74</f>
        <v/>
      </c>
      <c r="N74" s="13">
        <f>IF(J74&lt;=0.005,0,MIN(H74,J74-M74))</f>
        <v/>
      </c>
      <c r="O74" s="13">
        <f>ROUND(J74-M74-N74,2)</f>
        <v/>
      </c>
    </row>
    <row r="75">
      <c r="A75" s="11" t="n">
        <v>73</v>
      </c>
      <c r="B75" s="12">
        <f>EDATE(Inputs!$C$6,A75-1)</f>
        <v/>
      </c>
      <c r="C75" s="13">
        <f>G74</f>
        <v/>
      </c>
      <c r="D75" s="13">
        <f>IF(C75&lt;=0.005,0,ROUND(C75*Inputs!$C$8,2))</f>
        <v/>
      </c>
      <c r="E75" s="13">
        <f>IF(C75&lt;=0.005,0,MIN(Inputs!$C$7,C75+D75))</f>
        <v/>
      </c>
      <c r="F75" s="13">
        <f>E75-D75</f>
        <v/>
      </c>
      <c r="G75" s="13">
        <f>ROUND(C75-F75,2)</f>
        <v/>
      </c>
      <c r="H75" s="14" t="n">
        <v>0</v>
      </c>
      <c r="I75" s="11">
        <f>IF(H75=0,"",IF(A75&lt;2,"X not before month 2",IF(H75&lt;MAX(5000,Inputs!$C$7),"X below min",IF(H75&gt;MIN(5000000,0.75*J75),"X above max","OK"))))</f>
        <v/>
      </c>
      <c r="J75" s="13">
        <f>O74</f>
        <v/>
      </c>
      <c r="K75" s="13">
        <f>IF(J75&lt;=0.005,0,ROUND(J75*Inputs!$C$8,2))</f>
        <v/>
      </c>
      <c r="L75" s="13">
        <f>IF(J75&lt;=0.005,0,MIN(Inputs!$C$7,J75+K75))</f>
        <v/>
      </c>
      <c r="M75" s="13">
        <f>L75-K75</f>
        <v/>
      </c>
      <c r="N75" s="13">
        <f>IF(J75&lt;=0.005,0,MIN(H75,J75-M75))</f>
        <v/>
      </c>
      <c r="O75" s="13">
        <f>ROUND(J75-M75-N75,2)</f>
        <v/>
      </c>
    </row>
    <row r="76">
      <c r="A76" s="11" t="n">
        <v>74</v>
      </c>
      <c r="B76" s="12">
        <f>EDATE(Inputs!$C$6,A76-1)</f>
        <v/>
      </c>
      <c r="C76" s="13">
        <f>G75</f>
        <v/>
      </c>
      <c r="D76" s="13">
        <f>IF(C76&lt;=0.005,0,ROUND(C76*Inputs!$C$8,2))</f>
        <v/>
      </c>
      <c r="E76" s="13">
        <f>IF(C76&lt;=0.005,0,MIN(Inputs!$C$7,C76+D76))</f>
        <v/>
      </c>
      <c r="F76" s="13">
        <f>E76-D76</f>
        <v/>
      </c>
      <c r="G76" s="13">
        <f>ROUND(C76-F76,2)</f>
        <v/>
      </c>
      <c r="H76" s="14" t="n">
        <v>0</v>
      </c>
      <c r="I76" s="11">
        <f>IF(H76=0,"",IF(A76&lt;2,"X not before month 2",IF(H76&lt;MAX(5000,Inputs!$C$7),"X below min",IF(H76&gt;MIN(5000000,0.75*J76),"X above max","OK"))))</f>
        <v/>
      </c>
      <c r="J76" s="13">
        <f>O75</f>
        <v/>
      </c>
      <c r="K76" s="13">
        <f>IF(J76&lt;=0.005,0,ROUND(J76*Inputs!$C$8,2))</f>
        <v/>
      </c>
      <c r="L76" s="13">
        <f>IF(J76&lt;=0.005,0,MIN(Inputs!$C$7,J76+K76))</f>
        <v/>
      </c>
      <c r="M76" s="13">
        <f>L76-K76</f>
        <v/>
      </c>
      <c r="N76" s="13">
        <f>IF(J76&lt;=0.005,0,MIN(H76,J76-M76))</f>
        <v/>
      </c>
      <c r="O76" s="13">
        <f>ROUND(J76-M76-N76,2)</f>
        <v/>
      </c>
    </row>
    <row r="77">
      <c r="A77" s="11" t="n">
        <v>75</v>
      </c>
      <c r="B77" s="12">
        <f>EDATE(Inputs!$C$6,A77-1)</f>
        <v/>
      </c>
      <c r="C77" s="13">
        <f>G76</f>
        <v/>
      </c>
      <c r="D77" s="13">
        <f>IF(C77&lt;=0.005,0,ROUND(C77*Inputs!$C$8,2))</f>
        <v/>
      </c>
      <c r="E77" s="13">
        <f>IF(C77&lt;=0.005,0,MIN(Inputs!$C$7,C77+D77))</f>
        <v/>
      </c>
      <c r="F77" s="13">
        <f>E77-D77</f>
        <v/>
      </c>
      <c r="G77" s="13">
        <f>ROUND(C77-F77,2)</f>
        <v/>
      </c>
      <c r="H77" s="14" t="n">
        <v>0</v>
      </c>
      <c r="I77" s="11">
        <f>IF(H77=0,"",IF(A77&lt;2,"X not before month 2",IF(H77&lt;MAX(5000,Inputs!$C$7),"X below min",IF(H77&gt;MIN(5000000,0.75*J77),"X above max","OK"))))</f>
        <v/>
      </c>
      <c r="J77" s="13">
        <f>O76</f>
        <v/>
      </c>
      <c r="K77" s="13">
        <f>IF(J77&lt;=0.005,0,ROUND(J77*Inputs!$C$8,2))</f>
        <v/>
      </c>
      <c r="L77" s="13">
        <f>IF(J77&lt;=0.005,0,MIN(Inputs!$C$7,J77+K77))</f>
        <v/>
      </c>
      <c r="M77" s="13">
        <f>L77-K77</f>
        <v/>
      </c>
      <c r="N77" s="13">
        <f>IF(J77&lt;=0.005,0,MIN(H77,J77-M77))</f>
        <v/>
      </c>
      <c r="O77" s="13">
        <f>ROUND(J77-M77-N77,2)</f>
        <v/>
      </c>
    </row>
    <row r="78">
      <c r="A78" s="11" t="n">
        <v>76</v>
      </c>
      <c r="B78" s="12">
        <f>EDATE(Inputs!$C$6,A78-1)</f>
        <v/>
      </c>
      <c r="C78" s="13">
        <f>G77</f>
        <v/>
      </c>
      <c r="D78" s="13">
        <f>IF(C78&lt;=0.005,0,ROUND(C78*Inputs!$C$8,2))</f>
        <v/>
      </c>
      <c r="E78" s="13">
        <f>IF(C78&lt;=0.005,0,MIN(Inputs!$C$7,C78+D78))</f>
        <v/>
      </c>
      <c r="F78" s="13">
        <f>E78-D78</f>
        <v/>
      </c>
      <c r="G78" s="13">
        <f>ROUND(C78-F78,2)</f>
        <v/>
      </c>
      <c r="H78" s="14" t="n">
        <v>0</v>
      </c>
      <c r="I78" s="11">
        <f>IF(H78=0,"",IF(A78&lt;2,"X not before month 2",IF(H78&lt;MAX(5000,Inputs!$C$7),"X below min",IF(H78&gt;MIN(5000000,0.75*J78),"X above max","OK"))))</f>
        <v/>
      </c>
      <c r="J78" s="13">
        <f>O77</f>
        <v/>
      </c>
      <c r="K78" s="13">
        <f>IF(J78&lt;=0.005,0,ROUND(J78*Inputs!$C$8,2))</f>
        <v/>
      </c>
      <c r="L78" s="13">
        <f>IF(J78&lt;=0.005,0,MIN(Inputs!$C$7,J78+K78))</f>
        <v/>
      </c>
      <c r="M78" s="13">
        <f>L78-K78</f>
        <v/>
      </c>
      <c r="N78" s="13">
        <f>IF(J78&lt;=0.005,0,MIN(H78,J78-M78))</f>
        <v/>
      </c>
      <c r="O78" s="13">
        <f>ROUND(J78-M78-N78,2)</f>
        <v/>
      </c>
    </row>
    <row r="79">
      <c r="A79" s="11" t="n">
        <v>77</v>
      </c>
      <c r="B79" s="12">
        <f>EDATE(Inputs!$C$6,A79-1)</f>
        <v/>
      </c>
      <c r="C79" s="13">
        <f>G78</f>
        <v/>
      </c>
      <c r="D79" s="13">
        <f>IF(C79&lt;=0.005,0,ROUND(C79*Inputs!$C$8,2))</f>
        <v/>
      </c>
      <c r="E79" s="13">
        <f>IF(C79&lt;=0.005,0,MIN(Inputs!$C$7,C79+D79))</f>
        <v/>
      </c>
      <c r="F79" s="13">
        <f>E79-D79</f>
        <v/>
      </c>
      <c r="G79" s="13">
        <f>ROUND(C79-F79,2)</f>
        <v/>
      </c>
      <c r="H79" s="14" t="n">
        <v>0</v>
      </c>
      <c r="I79" s="11">
        <f>IF(H79=0,"",IF(A79&lt;2,"X not before month 2",IF(H79&lt;MAX(5000,Inputs!$C$7),"X below min",IF(H79&gt;MIN(5000000,0.75*J79),"X above max","OK"))))</f>
        <v/>
      </c>
      <c r="J79" s="13">
        <f>O78</f>
        <v/>
      </c>
      <c r="K79" s="13">
        <f>IF(J79&lt;=0.005,0,ROUND(J79*Inputs!$C$8,2))</f>
        <v/>
      </c>
      <c r="L79" s="13">
        <f>IF(J79&lt;=0.005,0,MIN(Inputs!$C$7,J79+K79))</f>
        <v/>
      </c>
      <c r="M79" s="13">
        <f>L79-K79</f>
        <v/>
      </c>
      <c r="N79" s="13">
        <f>IF(J79&lt;=0.005,0,MIN(H79,J79-M79))</f>
        <v/>
      </c>
      <c r="O79" s="13">
        <f>ROUND(J79-M79-N79,2)</f>
        <v/>
      </c>
    </row>
    <row r="80">
      <c r="A80" s="11" t="n">
        <v>78</v>
      </c>
      <c r="B80" s="12">
        <f>EDATE(Inputs!$C$6,A80-1)</f>
        <v/>
      </c>
      <c r="C80" s="13">
        <f>G79</f>
        <v/>
      </c>
      <c r="D80" s="13">
        <f>IF(C80&lt;=0.005,0,ROUND(C80*Inputs!$C$8,2))</f>
        <v/>
      </c>
      <c r="E80" s="13">
        <f>IF(C80&lt;=0.005,0,MIN(Inputs!$C$7,C80+D80))</f>
        <v/>
      </c>
      <c r="F80" s="13">
        <f>E80-D80</f>
        <v/>
      </c>
      <c r="G80" s="13">
        <f>ROUND(C80-F80,2)</f>
        <v/>
      </c>
      <c r="H80" s="14" t="n">
        <v>0</v>
      </c>
      <c r="I80" s="11">
        <f>IF(H80=0,"",IF(A80&lt;2,"X not before month 2",IF(H80&lt;MAX(5000,Inputs!$C$7),"X below min",IF(H80&gt;MIN(5000000,0.75*J80),"X above max","OK"))))</f>
        <v/>
      </c>
      <c r="J80" s="13">
        <f>O79</f>
        <v/>
      </c>
      <c r="K80" s="13">
        <f>IF(J80&lt;=0.005,0,ROUND(J80*Inputs!$C$8,2))</f>
        <v/>
      </c>
      <c r="L80" s="13">
        <f>IF(J80&lt;=0.005,0,MIN(Inputs!$C$7,J80+K80))</f>
        <v/>
      </c>
      <c r="M80" s="13">
        <f>L80-K80</f>
        <v/>
      </c>
      <c r="N80" s="13">
        <f>IF(J80&lt;=0.005,0,MIN(H80,J80-M80))</f>
        <v/>
      </c>
      <c r="O80" s="13">
        <f>ROUND(J80-M80-N80,2)</f>
        <v/>
      </c>
    </row>
    <row r="81">
      <c r="A81" s="11" t="n">
        <v>79</v>
      </c>
      <c r="B81" s="12">
        <f>EDATE(Inputs!$C$6,A81-1)</f>
        <v/>
      </c>
      <c r="C81" s="13">
        <f>G80</f>
        <v/>
      </c>
      <c r="D81" s="13">
        <f>IF(C81&lt;=0.005,0,ROUND(C81*Inputs!$C$8,2))</f>
        <v/>
      </c>
      <c r="E81" s="13">
        <f>IF(C81&lt;=0.005,0,MIN(Inputs!$C$7,C81+D81))</f>
        <v/>
      </c>
      <c r="F81" s="13">
        <f>E81-D81</f>
        <v/>
      </c>
      <c r="G81" s="13">
        <f>ROUND(C81-F81,2)</f>
        <v/>
      </c>
      <c r="H81" s="14" t="n">
        <v>0</v>
      </c>
      <c r="I81" s="11">
        <f>IF(H81=0,"",IF(A81&lt;2,"X not before month 2",IF(H81&lt;MAX(5000,Inputs!$C$7),"X below min",IF(H81&gt;MIN(5000000,0.75*J81),"X above max","OK"))))</f>
        <v/>
      </c>
      <c r="J81" s="13">
        <f>O80</f>
        <v/>
      </c>
      <c r="K81" s="13">
        <f>IF(J81&lt;=0.005,0,ROUND(J81*Inputs!$C$8,2))</f>
        <v/>
      </c>
      <c r="L81" s="13">
        <f>IF(J81&lt;=0.005,0,MIN(Inputs!$C$7,J81+K81))</f>
        <v/>
      </c>
      <c r="M81" s="13">
        <f>L81-K81</f>
        <v/>
      </c>
      <c r="N81" s="13">
        <f>IF(J81&lt;=0.005,0,MIN(H81,J81-M81))</f>
        <v/>
      </c>
      <c r="O81" s="13">
        <f>ROUND(J81-M81-N81,2)</f>
        <v/>
      </c>
    </row>
    <row r="82">
      <c r="A82" s="11" t="n">
        <v>80</v>
      </c>
      <c r="B82" s="12">
        <f>EDATE(Inputs!$C$6,A82-1)</f>
        <v/>
      </c>
      <c r="C82" s="13">
        <f>G81</f>
        <v/>
      </c>
      <c r="D82" s="13">
        <f>IF(C82&lt;=0.005,0,ROUND(C82*Inputs!$C$8,2))</f>
        <v/>
      </c>
      <c r="E82" s="13">
        <f>IF(C82&lt;=0.005,0,MIN(Inputs!$C$7,C82+D82))</f>
        <v/>
      </c>
      <c r="F82" s="13">
        <f>E82-D82</f>
        <v/>
      </c>
      <c r="G82" s="13">
        <f>ROUND(C82-F82,2)</f>
        <v/>
      </c>
      <c r="H82" s="14" t="n">
        <v>0</v>
      </c>
      <c r="I82" s="11">
        <f>IF(H82=0,"",IF(A82&lt;2,"X not before month 2",IF(H82&lt;MAX(5000,Inputs!$C$7),"X below min",IF(H82&gt;MIN(5000000,0.75*J82),"X above max","OK"))))</f>
        <v/>
      </c>
      <c r="J82" s="13">
        <f>O81</f>
        <v/>
      </c>
      <c r="K82" s="13">
        <f>IF(J82&lt;=0.005,0,ROUND(J82*Inputs!$C$8,2))</f>
        <v/>
      </c>
      <c r="L82" s="13">
        <f>IF(J82&lt;=0.005,0,MIN(Inputs!$C$7,J82+K82))</f>
        <v/>
      </c>
      <c r="M82" s="13">
        <f>L82-K82</f>
        <v/>
      </c>
      <c r="N82" s="13">
        <f>IF(J82&lt;=0.005,0,MIN(H82,J82-M82))</f>
        <v/>
      </c>
      <c r="O82" s="13">
        <f>ROUND(J82-M82-N82,2)</f>
        <v/>
      </c>
    </row>
    <row r="83">
      <c r="A83" s="11" t="n">
        <v>81</v>
      </c>
      <c r="B83" s="12">
        <f>EDATE(Inputs!$C$6,A83-1)</f>
        <v/>
      </c>
      <c r="C83" s="13">
        <f>G82</f>
        <v/>
      </c>
      <c r="D83" s="13">
        <f>IF(C83&lt;=0.005,0,ROUND(C83*Inputs!$C$8,2))</f>
        <v/>
      </c>
      <c r="E83" s="13">
        <f>IF(C83&lt;=0.005,0,MIN(Inputs!$C$7,C83+D83))</f>
        <v/>
      </c>
      <c r="F83" s="13">
        <f>E83-D83</f>
        <v/>
      </c>
      <c r="G83" s="13">
        <f>ROUND(C83-F83,2)</f>
        <v/>
      </c>
      <c r="H83" s="14" t="n">
        <v>0</v>
      </c>
      <c r="I83" s="11">
        <f>IF(H83=0,"",IF(A83&lt;2,"X not before month 2",IF(H83&lt;MAX(5000,Inputs!$C$7),"X below min",IF(H83&gt;MIN(5000000,0.75*J83),"X above max","OK"))))</f>
        <v/>
      </c>
      <c r="J83" s="13">
        <f>O82</f>
        <v/>
      </c>
      <c r="K83" s="13">
        <f>IF(J83&lt;=0.005,0,ROUND(J83*Inputs!$C$8,2))</f>
        <v/>
      </c>
      <c r="L83" s="13">
        <f>IF(J83&lt;=0.005,0,MIN(Inputs!$C$7,J83+K83))</f>
        <v/>
      </c>
      <c r="M83" s="13">
        <f>L83-K83</f>
        <v/>
      </c>
      <c r="N83" s="13">
        <f>IF(J83&lt;=0.005,0,MIN(H83,J83-M83))</f>
        <v/>
      </c>
      <c r="O83" s="13">
        <f>ROUND(J83-M83-N83,2)</f>
        <v/>
      </c>
    </row>
    <row r="84">
      <c r="A84" s="11" t="n">
        <v>82</v>
      </c>
      <c r="B84" s="12">
        <f>EDATE(Inputs!$C$6,A84-1)</f>
        <v/>
      </c>
      <c r="C84" s="13">
        <f>G83</f>
        <v/>
      </c>
      <c r="D84" s="13">
        <f>IF(C84&lt;=0.005,0,ROUND(C84*Inputs!$C$8,2))</f>
        <v/>
      </c>
      <c r="E84" s="13">
        <f>IF(C84&lt;=0.005,0,MIN(Inputs!$C$7,C84+D84))</f>
        <v/>
      </c>
      <c r="F84" s="13">
        <f>E84-D84</f>
        <v/>
      </c>
      <c r="G84" s="13">
        <f>ROUND(C84-F84,2)</f>
        <v/>
      </c>
      <c r="H84" s="14" t="n">
        <v>0</v>
      </c>
      <c r="I84" s="11">
        <f>IF(H84=0,"",IF(A84&lt;2,"X not before month 2",IF(H84&lt;MAX(5000,Inputs!$C$7),"X below min",IF(H84&gt;MIN(5000000,0.75*J84),"X above max","OK"))))</f>
        <v/>
      </c>
      <c r="J84" s="13">
        <f>O83</f>
        <v/>
      </c>
      <c r="K84" s="13">
        <f>IF(J84&lt;=0.005,0,ROUND(J84*Inputs!$C$8,2))</f>
        <v/>
      </c>
      <c r="L84" s="13">
        <f>IF(J84&lt;=0.005,0,MIN(Inputs!$C$7,J84+K84))</f>
        <v/>
      </c>
      <c r="M84" s="13">
        <f>L84-K84</f>
        <v/>
      </c>
      <c r="N84" s="13">
        <f>IF(J84&lt;=0.005,0,MIN(H84,J84-M84))</f>
        <v/>
      </c>
      <c r="O84" s="13">
        <f>ROUND(J84-M84-N84,2)</f>
        <v/>
      </c>
    </row>
    <row r="85">
      <c r="A85" s="11" t="n">
        <v>83</v>
      </c>
      <c r="B85" s="12">
        <f>EDATE(Inputs!$C$6,A85-1)</f>
        <v/>
      </c>
      <c r="C85" s="13">
        <f>G84</f>
        <v/>
      </c>
      <c r="D85" s="13">
        <f>IF(C85&lt;=0.005,0,ROUND(C85*Inputs!$C$8,2))</f>
        <v/>
      </c>
      <c r="E85" s="13">
        <f>IF(C85&lt;=0.005,0,MIN(Inputs!$C$7,C85+D85))</f>
        <v/>
      </c>
      <c r="F85" s="13">
        <f>E85-D85</f>
        <v/>
      </c>
      <c r="G85" s="13">
        <f>ROUND(C85-F85,2)</f>
        <v/>
      </c>
      <c r="H85" s="14" t="n">
        <v>0</v>
      </c>
      <c r="I85" s="11">
        <f>IF(H85=0,"",IF(A85&lt;2,"X not before month 2",IF(H85&lt;MAX(5000,Inputs!$C$7),"X below min",IF(H85&gt;MIN(5000000,0.75*J85),"X above max","OK"))))</f>
        <v/>
      </c>
      <c r="J85" s="13">
        <f>O84</f>
        <v/>
      </c>
      <c r="K85" s="13">
        <f>IF(J85&lt;=0.005,0,ROUND(J85*Inputs!$C$8,2))</f>
        <v/>
      </c>
      <c r="L85" s="13">
        <f>IF(J85&lt;=0.005,0,MIN(Inputs!$C$7,J85+K85))</f>
        <v/>
      </c>
      <c r="M85" s="13">
        <f>L85-K85</f>
        <v/>
      </c>
      <c r="N85" s="13">
        <f>IF(J85&lt;=0.005,0,MIN(H85,J85-M85))</f>
        <v/>
      </c>
      <c r="O85" s="13">
        <f>ROUND(J85-M85-N85,2)</f>
        <v/>
      </c>
    </row>
    <row r="86">
      <c r="A86" s="11" t="n">
        <v>84</v>
      </c>
      <c r="B86" s="12">
        <f>EDATE(Inputs!$C$6,A86-1)</f>
        <v/>
      </c>
      <c r="C86" s="13">
        <f>G85</f>
        <v/>
      </c>
      <c r="D86" s="13">
        <f>IF(C86&lt;=0.005,0,ROUND(C86*Inputs!$C$8,2))</f>
        <v/>
      </c>
      <c r="E86" s="13">
        <f>IF(C86&lt;=0.005,0,MIN(Inputs!$C$7,C86+D86))</f>
        <v/>
      </c>
      <c r="F86" s="13">
        <f>E86-D86</f>
        <v/>
      </c>
      <c r="G86" s="13">
        <f>ROUND(C86-F86,2)</f>
        <v/>
      </c>
      <c r="H86" s="14" t="n">
        <v>0</v>
      </c>
      <c r="I86" s="11">
        <f>IF(H86=0,"",IF(A86&lt;2,"X not before month 2",IF(H86&lt;MAX(5000,Inputs!$C$7),"X below min",IF(H86&gt;MIN(5000000,0.75*J86),"X above max","OK"))))</f>
        <v/>
      </c>
      <c r="J86" s="13">
        <f>O85</f>
        <v/>
      </c>
      <c r="K86" s="13">
        <f>IF(J86&lt;=0.005,0,ROUND(J86*Inputs!$C$8,2))</f>
        <v/>
      </c>
      <c r="L86" s="13">
        <f>IF(J86&lt;=0.005,0,MIN(Inputs!$C$7,J86+K86))</f>
        <v/>
      </c>
      <c r="M86" s="13">
        <f>L86-K86</f>
        <v/>
      </c>
      <c r="N86" s="13">
        <f>IF(J86&lt;=0.005,0,MIN(H86,J86-M86))</f>
        <v/>
      </c>
      <c r="O86" s="13">
        <f>ROUND(J86-M86-N86,2)</f>
        <v/>
      </c>
    </row>
    <row r="87">
      <c r="A87" s="11" t="n">
        <v>85</v>
      </c>
      <c r="B87" s="12">
        <f>EDATE(Inputs!$C$6,A87-1)</f>
        <v/>
      </c>
      <c r="C87" s="13">
        <f>G86</f>
        <v/>
      </c>
      <c r="D87" s="13">
        <f>IF(C87&lt;=0.005,0,ROUND(C87*Inputs!$C$8,2))</f>
        <v/>
      </c>
      <c r="E87" s="13">
        <f>IF(C87&lt;=0.005,0,MIN(Inputs!$C$7,C87+D87))</f>
        <v/>
      </c>
      <c r="F87" s="13">
        <f>E87-D87</f>
        <v/>
      </c>
      <c r="G87" s="13">
        <f>ROUND(C87-F87,2)</f>
        <v/>
      </c>
      <c r="H87" s="14" t="n">
        <v>0</v>
      </c>
      <c r="I87" s="11">
        <f>IF(H87=0,"",IF(A87&lt;2,"X not before month 2",IF(H87&lt;MAX(5000,Inputs!$C$7),"X below min",IF(H87&gt;MIN(5000000,0.75*J87),"X above max","OK"))))</f>
        <v/>
      </c>
      <c r="J87" s="13">
        <f>O86</f>
        <v/>
      </c>
      <c r="K87" s="13">
        <f>IF(J87&lt;=0.005,0,ROUND(J87*Inputs!$C$8,2))</f>
        <v/>
      </c>
      <c r="L87" s="13">
        <f>IF(J87&lt;=0.005,0,MIN(Inputs!$C$7,J87+K87))</f>
        <v/>
      </c>
      <c r="M87" s="13">
        <f>L87-K87</f>
        <v/>
      </c>
      <c r="N87" s="13">
        <f>IF(J87&lt;=0.005,0,MIN(H87,J87-M87))</f>
        <v/>
      </c>
      <c r="O87" s="13">
        <f>ROUND(J87-M87-N87,2)</f>
        <v/>
      </c>
    </row>
    <row r="88">
      <c r="A88" s="11" t="n">
        <v>86</v>
      </c>
      <c r="B88" s="12">
        <f>EDATE(Inputs!$C$6,A88-1)</f>
        <v/>
      </c>
      <c r="C88" s="13">
        <f>G87</f>
        <v/>
      </c>
      <c r="D88" s="13">
        <f>IF(C88&lt;=0.005,0,ROUND(C88*Inputs!$C$8,2))</f>
        <v/>
      </c>
      <c r="E88" s="13">
        <f>IF(C88&lt;=0.005,0,MIN(Inputs!$C$7,C88+D88))</f>
        <v/>
      </c>
      <c r="F88" s="13">
        <f>E88-D88</f>
        <v/>
      </c>
      <c r="G88" s="13">
        <f>ROUND(C88-F88,2)</f>
        <v/>
      </c>
      <c r="H88" s="14" t="n">
        <v>0</v>
      </c>
      <c r="I88" s="11">
        <f>IF(H88=0,"",IF(A88&lt;2,"X not before month 2",IF(H88&lt;MAX(5000,Inputs!$C$7),"X below min",IF(H88&gt;MIN(5000000,0.75*J88),"X above max","OK"))))</f>
        <v/>
      </c>
      <c r="J88" s="13">
        <f>O87</f>
        <v/>
      </c>
      <c r="K88" s="13">
        <f>IF(J88&lt;=0.005,0,ROUND(J88*Inputs!$C$8,2))</f>
        <v/>
      </c>
      <c r="L88" s="13">
        <f>IF(J88&lt;=0.005,0,MIN(Inputs!$C$7,J88+K88))</f>
        <v/>
      </c>
      <c r="M88" s="13">
        <f>L88-K88</f>
        <v/>
      </c>
      <c r="N88" s="13">
        <f>IF(J88&lt;=0.005,0,MIN(H88,J88-M88))</f>
        <v/>
      </c>
      <c r="O88" s="13">
        <f>ROUND(J88-M88-N88,2)</f>
        <v/>
      </c>
    </row>
    <row r="89">
      <c r="A89" s="11" t="n">
        <v>87</v>
      </c>
      <c r="B89" s="12">
        <f>EDATE(Inputs!$C$6,A89-1)</f>
        <v/>
      </c>
      <c r="C89" s="13">
        <f>G88</f>
        <v/>
      </c>
      <c r="D89" s="13">
        <f>IF(C89&lt;=0.005,0,ROUND(C89*Inputs!$C$8,2))</f>
        <v/>
      </c>
      <c r="E89" s="13">
        <f>IF(C89&lt;=0.005,0,MIN(Inputs!$C$7,C89+D89))</f>
        <v/>
      </c>
      <c r="F89" s="13">
        <f>E89-D89</f>
        <v/>
      </c>
      <c r="G89" s="13">
        <f>ROUND(C89-F89,2)</f>
        <v/>
      </c>
      <c r="H89" s="14" t="n">
        <v>0</v>
      </c>
      <c r="I89" s="11">
        <f>IF(H89=0,"",IF(A89&lt;2,"X not before month 2",IF(H89&lt;MAX(5000,Inputs!$C$7),"X below min",IF(H89&gt;MIN(5000000,0.75*J89),"X above max","OK"))))</f>
        <v/>
      </c>
      <c r="J89" s="13">
        <f>O88</f>
        <v/>
      </c>
      <c r="K89" s="13">
        <f>IF(J89&lt;=0.005,0,ROUND(J89*Inputs!$C$8,2))</f>
        <v/>
      </c>
      <c r="L89" s="13">
        <f>IF(J89&lt;=0.005,0,MIN(Inputs!$C$7,J89+K89))</f>
        <v/>
      </c>
      <c r="M89" s="13">
        <f>L89-K89</f>
        <v/>
      </c>
      <c r="N89" s="13">
        <f>IF(J89&lt;=0.005,0,MIN(H89,J89-M89))</f>
        <v/>
      </c>
      <c r="O89" s="13">
        <f>ROUND(J89-M89-N89,2)</f>
        <v/>
      </c>
    </row>
    <row r="90">
      <c r="A90" s="11" t="n">
        <v>88</v>
      </c>
      <c r="B90" s="12">
        <f>EDATE(Inputs!$C$6,A90-1)</f>
        <v/>
      </c>
      <c r="C90" s="13">
        <f>G89</f>
        <v/>
      </c>
      <c r="D90" s="13">
        <f>IF(C90&lt;=0.005,0,ROUND(C90*Inputs!$C$8,2))</f>
        <v/>
      </c>
      <c r="E90" s="13">
        <f>IF(C90&lt;=0.005,0,MIN(Inputs!$C$7,C90+D90))</f>
        <v/>
      </c>
      <c r="F90" s="13">
        <f>E90-D90</f>
        <v/>
      </c>
      <c r="G90" s="13">
        <f>ROUND(C90-F90,2)</f>
        <v/>
      </c>
      <c r="H90" s="14" t="n">
        <v>0</v>
      </c>
      <c r="I90" s="11">
        <f>IF(H90=0,"",IF(A90&lt;2,"X not before month 2",IF(H90&lt;MAX(5000,Inputs!$C$7),"X below min",IF(H90&gt;MIN(5000000,0.75*J90),"X above max","OK"))))</f>
        <v/>
      </c>
      <c r="J90" s="13">
        <f>O89</f>
        <v/>
      </c>
      <c r="K90" s="13">
        <f>IF(J90&lt;=0.005,0,ROUND(J90*Inputs!$C$8,2))</f>
        <v/>
      </c>
      <c r="L90" s="13">
        <f>IF(J90&lt;=0.005,0,MIN(Inputs!$C$7,J90+K90))</f>
        <v/>
      </c>
      <c r="M90" s="13">
        <f>L90-K90</f>
        <v/>
      </c>
      <c r="N90" s="13">
        <f>IF(J90&lt;=0.005,0,MIN(H90,J90-M90))</f>
        <v/>
      </c>
      <c r="O90" s="13">
        <f>ROUND(J90-M90-N90,2)</f>
        <v/>
      </c>
    </row>
    <row r="91">
      <c r="A91" s="11" t="n">
        <v>89</v>
      </c>
      <c r="B91" s="12">
        <f>EDATE(Inputs!$C$6,A91-1)</f>
        <v/>
      </c>
      <c r="C91" s="13">
        <f>G90</f>
        <v/>
      </c>
      <c r="D91" s="13">
        <f>IF(C91&lt;=0.005,0,ROUND(C91*Inputs!$C$8,2))</f>
        <v/>
      </c>
      <c r="E91" s="13">
        <f>IF(C91&lt;=0.005,0,MIN(Inputs!$C$7,C91+D91))</f>
        <v/>
      </c>
      <c r="F91" s="13">
        <f>E91-D91</f>
        <v/>
      </c>
      <c r="G91" s="13">
        <f>ROUND(C91-F91,2)</f>
        <v/>
      </c>
      <c r="H91" s="14" t="n">
        <v>0</v>
      </c>
      <c r="I91" s="11">
        <f>IF(H91=0,"",IF(A91&lt;2,"X not before month 2",IF(H91&lt;MAX(5000,Inputs!$C$7),"X below min",IF(H91&gt;MIN(5000000,0.75*J91),"X above max","OK"))))</f>
        <v/>
      </c>
      <c r="J91" s="13">
        <f>O90</f>
        <v/>
      </c>
      <c r="K91" s="13">
        <f>IF(J91&lt;=0.005,0,ROUND(J91*Inputs!$C$8,2))</f>
        <v/>
      </c>
      <c r="L91" s="13">
        <f>IF(J91&lt;=0.005,0,MIN(Inputs!$C$7,J91+K91))</f>
        <v/>
      </c>
      <c r="M91" s="13">
        <f>L91-K91</f>
        <v/>
      </c>
      <c r="N91" s="13">
        <f>IF(J91&lt;=0.005,0,MIN(H91,J91-M91))</f>
        <v/>
      </c>
      <c r="O91" s="13">
        <f>ROUND(J91-M91-N91,2)</f>
        <v/>
      </c>
    </row>
    <row r="92">
      <c r="A92" s="11" t="n">
        <v>90</v>
      </c>
      <c r="B92" s="12">
        <f>EDATE(Inputs!$C$6,A92-1)</f>
        <v/>
      </c>
      <c r="C92" s="13">
        <f>G91</f>
        <v/>
      </c>
      <c r="D92" s="13">
        <f>IF(C92&lt;=0.005,0,ROUND(C92*Inputs!$C$8,2))</f>
        <v/>
      </c>
      <c r="E92" s="13">
        <f>IF(C92&lt;=0.005,0,MIN(Inputs!$C$7,C92+D92))</f>
        <v/>
      </c>
      <c r="F92" s="13">
        <f>E92-D92</f>
        <v/>
      </c>
      <c r="G92" s="13">
        <f>ROUND(C92-F92,2)</f>
        <v/>
      </c>
      <c r="H92" s="14" t="n">
        <v>0</v>
      </c>
      <c r="I92" s="11">
        <f>IF(H92=0,"",IF(A92&lt;2,"X not before month 2",IF(H92&lt;MAX(5000,Inputs!$C$7),"X below min",IF(H92&gt;MIN(5000000,0.75*J92),"X above max","OK"))))</f>
        <v/>
      </c>
      <c r="J92" s="13">
        <f>O91</f>
        <v/>
      </c>
      <c r="K92" s="13">
        <f>IF(J92&lt;=0.005,0,ROUND(J92*Inputs!$C$8,2))</f>
        <v/>
      </c>
      <c r="L92" s="13">
        <f>IF(J92&lt;=0.005,0,MIN(Inputs!$C$7,J92+K92))</f>
        <v/>
      </c>
      <c r="M92" s="13">
        <f>L92-K92</f>
        <v/>
      </c>
      <c r="N92" s="13">
        <f>IF(J92&lt;=0.005,0,MIN(H92,J92-M92))</f>
        <v/>
      </c>
      <c r="O92" s="13">
        <f>ROUND(J92-M92-N92,2)</f>
        <v/>
      </c>
    </row>
    <row r="93">
      <c r="A93" s="11" t="n">
        <v>91</v>
      </c>
      <c r="B93" s="12">
        <f>EDATE(Inputs!$C$6,A93-1)</f>
        <v/>
      </c>
      <c r="C93" s="13">
        <f>G92</f>
        <v/>
      </c>
      <c r="D93" s="13">
        <f>IF(C93&lt;=0.005,0,ROUND(C93*Inputs!$C$8,2))</f>
        <v/>
      </c>
      <c r="E93" s="13">
        <f>IF(C93&lt;=0.005,0,MIN(Inputs!$C$7,C93+D93))</f>
        <v/>
      </c>
      <c r="F93" s="13">
        <f>E93-D93</f>
        <v/>
      </c>
      <c r="G93" s="13">
        <f>ROUND(C93-F93,2)</f>
        <v/>
      </c>
      <c r="H93" s="14" t="n">
        <v>0</v>
      </c>
      <c r="I93" s="11">
        <f>IF(H93=0,"",IF(A93&lt;2,"X not before month 2",IF(H93&lt;MAX(5000,Inputs!$C$7),"X below min",IF(H93&gt;MIN(5000000,0.75*J93),"X above max","OK"))))</f>
        <v/>
      </c>
      <c r="J93" s="13">
        <f>O92</f>
        <v/>
      </c>
      <c r="K93" s="13">
        <f>IF(J93&lt;=0.005,0,ROUND(J93*Inputs!$C$8,2))</f>
        <v/>
      </c>
      <c r="L93" s="13">
        <f>IF(J93&lt;=0.005,0,MIN(Inputs!$C$7,J93+K93))</f>
        <v/>
      </c>
      <c r="M93" s="13">
        <f>L93-K93</f>
        <v/>
      </c>
      <c r="N93" s="13">
        <f>IF(J93&lt;=0.005,0,MIN(H93,J93-M93))</f>
        <v/>
      </c>
      <c r="O93" s="13">
        <f>ROUND(J93-M93-N93,2)</f>
        <v/>
      </c>
    </row>
    <row r="94">
      <c r="A94" s="11" t="n">
        <v>92</v>
      </c>
      <c r="B94" s="12">
        <f>EDATE(Inputs!$C$6,A94-1)</f>
        <v/>
      </c>
      <c r="C94" s="13">
        <f>G93</f>
        <v/>
      </c>
      <c r="D94" s="13">
        <f>IF(C94&lt;=0.005,0,ROUND(C94*Inputs!$C$8,2))</f>
        <v/>
      </c>
      <c r="E94" s="13">
        <f>IF(C94&lt;=0.005,0,MIN(Inputs!$C$7,C94+D94))</f>
        <v/>
      </c>
      <c r="F94" s="13">
        <f>E94-D94</f>
        <v/>
      </c>
      <c r="G94" s="13">
        <f>ROUND(C94-F94,2)</f>
        <v/>
      </c>
      <c r="H94" s="14" t="n">
        <v>0</v>
      </c>
      <c r="I94" s="11">
        <f>IF(H94=0,"",IF(A94&lt;2,"X not before month 2",IF(H94&lt;MAX(5000,Inputs!$C$7),"X below min",IF(H94&gt;MIN(5000000,0.75*J94),"X above max","OK"))))</f>
        <v/>
      </c>
      <c r="J94" s="13">
        <f>O93</f>
        <v/>
      </c>
      <c r="K94" s="13">
        <f>IF(J94&lt;=0.005,0,ROUND(J94*Inputs!$C$8,2))</f>
        <v/>
      </c>
      <c r="L94" s="13">
        <f>IF(J94&lt;=0.005,0,MIN(Inputs!$C$7,J94+K94))</f>
        <v/>
      </c>
      <c r="M94" s="13">
        <f>L94-K94</f>
        <v/>
      </c>
      <c r="N94" s="13">
        <f>IF(J94&lt;=0.005,0,MIN(H94,J94-M94))</f>
        <v/>
      </c>
      <c r="O94" s="13">
        <f>ROUND(J94-M94-N94,2)</f>
        <v/>
      </c>
    </row>
    <row r="95">
      <c r="A95" s="11" t="n">
        <v>93</v>
      </c>
      <c r="B95" s="12">
        <f>EDATE(Inputs!$C$6,A95-1)</f>
        <v/>
      </c>
      <c r="C95" s="13">
        <f>G94</f>
        <v/>
      </c>
      <c r="D95" s="13">
        <f>IF(C95&lt;=0.005,0,ROUND(C95*Inputs!$C$8,2))</f>
        <v/>
      </c>
      <c r="E95" s="13">
        <f>IF(C95&lt;=0.005,0,MIN(Inputs!$C$7,C95+D95))</f>
        <v/>
      </c>
      <c r="F95" s="13">
        <f>E95-D95</f>
        <v/>
      </c>
      <c r="G95" s="13">
        <f>ROUND(C95-F95,2)</f>
        <v/>
      </c>
      <c r="H95" s="14" t="n">
        <v>0</v>
      </c>
      <c r="I95" s="11">
        <f>IF(H95=0,"",IF(A95&lt;2,"X not before month 2",IF(H95&lt;MAX(5000,Inputs!$C$7),"X below min",IF(H95&gt;MIN(5000000,0.75*J95),"X above max","OK"))))</f>
        <v/>
      </c>
      <c r="J95" s="13">
        <f>O94</f>
        <v/>
      </c>
      <c r="K95" s="13">
        <f>IF(J95&lt;=0.005,0,ROUND(J95*Inputs!$C$8,2))</f>
        <v/>
      </c>
      <c r="L95" s="13">
        <f>IF(J95&lt;=0.005,0,MIN(Inputs!$C$7,J95+K95))</f>
        <v/>
      </c>
      <c r="M95" s="13">
        <f>L95-K95</f>
        <v/>
      </c>
      <c r="N95" s="13">
        <f>IF(J95&lt;=0.005,0,MIN(H95,J95-M95))</f>
        <v/>
      </c>
      <c r="O95" s="13">
        <f>ROUND(J95-M95-N95,2)</f>
        <v/>
      </c>
    </row>
    <row r="96">
      <c r="A96" s="11" t="n">
        <v>94</v>
      </c>
      <c r="B96" s="12">
        <f>EDATE(Inputs!$C$6,A96-1)</f>
        <v/>
      </c>
      <c r="C96" s="13">
        <f>G95</f>
        <v/>
      </c>
      <c r="D96" s="13">
        <f>IF(C96&lt;=0.005,0,ROUND(C96*Inputs!$C$8,2))</f>
        <v/>
      </c>
      <c r="E96" s="13">
        <f>IF(C96&lt;=0.005,0,MIN(Inputs!$C$7,C96+D96))</f>
        <v/>
      </c>
      <c r="F96" s="13">
        <f>E96-D96</f>
        <v/>
      </c>
      <c r="G96" s="13">
        <f>ROUND(C96-F96,2)</f>
        <v/>
      </c>
      <c r="H96" s="14" t="n">
        <v>0</v>
      </c>
      <c r="I96" s="11">
        <f>IF(H96=0,"",IF(A96&lt;2,"X not before month 2",IF(H96&lt;MAX(5000,Inputs!$C$7),"X below min",IF(H96&gt;MIN(5000000,0.75*J96),"X above max","OK"))))</f>
        <v/>
      </c>
      <c r="J96" s="13">
        <f>O95</f>
        <v/>
      </c>
      <c r="K96" s="13">
        <f>IF(J96&lt;=0.005,0,ROUND(J96*Inputs!$C$8,2))</f>
        <v/>
      </c>
      <c r="L96" s="13">
        <f>IF(J96&lt;=0.005,0,MIN(Inputs!$C$7,J96+K96))</f>
        <v/>
      </c>
      <c r="M96" s="13">
        <f>L96-K96</f>
        <v/>
      </c>
      <c r="N96" s="13">
        <f>IF(J96&lt;=0.005,0,MIN(H96,J96-M96))</f>
        <v/>
      </c>
      <c r="O96" s="13">
        <f>ROUND(J96-M96-N96,2)</f>
        <v/>
      </c>
    </row>
    <row r="97">
      <c r="A97" s="11" t="n">
        <v>95</v>
      </c>
      <c r="B97" s="12">
        <f>EDATE(Inputs!$C$6,A97-1)</f>
        <v/>
      </c>
      <c r="C97" s="13">
        <f>G96</f>
        <v/>
      </c>
      <c r="D97" s="13">
        <f>IF(C97&lt;=0.005,0,ROUND(C97*Inputs!$C$8,2))</f>
        <v/>
      </c>
      <c r="E97" s="13">
        <f>IF(C97&lt;=0.005,0,MIN(Inputs!$C$7,C97+D97))</f>
        <v/>
      </c>
      <c r="F97" s="13">
        <f>E97-D97</f>
        <v/>
      </c>
      <c r="G97" s="13">
        <f>ROUND(C97-F97,2)</f>
        <v/>
      </c>
      <c r="H97" s="14" t="n">
        <v>0</v>
      </c>
      <c r="I97" s="11">
        <f>IF(H97=0,"",IF(A97&lt;2,"X not before month 2",IF(H97&lt;MAX(5000,Inputs!$C$7),"X below min",IF(H97&gt;MIN(5000000,0.75*J97),"X above max","OK"))))</f>
        <v/>
      </c>
      <c r="J97" s="13">
        <f>O96</f>
        <v/>
      </c>
      <c r="K97" s="13">
        <f>IF(J97&lt;=0.005,0,ROUND(J97*Inputs!$C$8,2))</f>
        <v/>
      </c>
      <c r="L97" s="13">
        <f>IF(J97&lt;=0.005,0,MIN(Inputs!$C$7,J97+K97))</f>
        <v/>
      </c>
      <c r="M97" s="13">
        <f>L97-K97</f>
        <v/>
      </c>
      <c r="N97" s="13">
        <f>IF(J97&lt;=0.005,0,MIN(H97,J97-M97))</f>
        <v/>
      </c>
      <c r="O97" s="13">
        <f>ROUND(J97-M97-N97,2)</f>
        <v/>
      </c>
    </row>
    <row r="98">
      <c r="A98" s="11" t="n">
        <v>96</v>
      </c>
      <c r="B98" s="12">
        <f>EDATE(Inputs!$C$6,A98-1)</f>
        <v/>
      </c>
      <c r="C98" s="13">
        <f>G97</f>
        <v/>
      </c>
      <c r="D98" s="13">
        <f>IF(C98&lt;=0.005,0,ROUND(C98*Inputs!$C$8,2))</f>
        <v/>
      </c>
      <c r="E98" s="13">
        <f>IF(C98&lt;=0.005,0,MIN(Inputs!$C$7,C98+D98))</f>
        <v/>
      </c>
      <c r="F98" s="13">
        <f>E98-D98</f>
        <v/>
      </c>
      <c r="G98" s="13">
        <f>ROUND(C98-F98,2)</f>
        <v/>
      </c>
      <c r="H98" s="14" t="n">
        <v>0</v>
      </c>
      <c r="I98" s="11">
        <f>IF(H98=0,"",IF(A98&lt;2,"X not before month 2",IF(H98&lt;MAX(5000,Inputs!$C$7),"X below min",IF(H98&gt;MIN(5000000,0.75*J98),"X above max","OK"))))</f>
        <v/>
      </c>
      <c r="J98" s="13">
        <f>O97</f>
        <v/>
      </c>
      <c r="K98" s="13">
        <f>IF(J98&lt;=0.005,0,ROUND(J98*Inputs!$C$8,2))</f>
        <v/>
      </c>
      <c r="L98" s="13">
        <f>IF(J98&lt;=0.005,0,MIN(Inputs!$C$7,J98+K98))</f>
        <v/>
      </c>
      <c r="M98" s="13">
        <f>L98-K98</f>
        <v/>
      </c>
      <c r="N98" s="13">
        <f>IF(J98&lt;=0.005,0,MIN(H98,J98-M98))</f>
        <v/>
      </c>
      <c r="O98" s="13">
        <f>ROUND(J98-M98-N98,2)</f>
        <v/>
      </c>
    </row>
    <row r="99">
      <c r="A99" s="11" t="n">
        <v>97</v>
      </c>
      <c r="B99" s="12">
        <f>EDATE(Inputs!$C$6,A99-1)</f>
        <v/>
      </c>
      <c r="C99" s="13">
        <f>G98</f>
        <v/>
      </c>
      <c r="D99" s="13">
        <f>IF(C99&lt;=0.005,0,ROUND(C99*Inputs!$C$8,2))</f>
        <v/>
      </c>
      <c r="E99" s="13">
        <f>IF(C99&lt;=0.005,0,MIN(Inputs!$C$7,C99+D99))</f>
        <v/>
      </c>
      <c r="F99" s="13">
        <f>E99-D99</f>
        <v/>
      </c>
      <c r="G99" s="13">
        <f>ROUND(C99-F99,2)</f>
        <v/>
      </c>
      <c r="H99" s="14" t="n">
        <v>0</v>
      </c>
      <c r="I99" s="11">
        <f>IF(H99=0,"",IF(A99&lt;2,"X not before month 2",IF(H99&lt;MAX(5000,Inputs!$C$7),"X below min",IF(H99&gt;MIN(5000000,0.75*J99),"X above max","OK"))))</f>
        <v/>
      </c>
      <c r="J99" s="13">
        <f>O98</f>
        <v/>
      </c>
      <c r="K99" s="13">
        <f>IF(J99&lt;=0.005,0,ROUND(J99*Inputs!$C$8,2))</f>
        <v/>
      </c>
      <c r="L99" s="13">
        <f>IF(J99&lt;=0.005,0,MIN(Inputs!$C$7,J99+K99))</f>
        <v/>
      </c>
      <c r="M99" s="13">
        <f>L99-K99</f>
        <v/>
      </c>
      <c r="N99" s="13">
        <f>IF(J99&lt;=0.005,0,MIN(H99,J99-M99))</f>
        <v/>
      </c>
      <c r="O99" s="13">
        <f>ROUND(J99-M99-N99,2)</f>
        <v/>
      </c>
    </row>
    <row r="100">
      <c r="A100" s="11" t="n">
        <v>98</v>
      </c>
      <c r="B100" s="12">
        <f>EDATE(Inputs!$C$6,A100-1)</f>
        <v/>
      </c>
      <c r="C100" s="13">
        <f>G99</f>
        <v/>
      </c>
      <c r="D100" s="13">
        <f>IF(C100&lt;=0.005,0,ROUND(C100*Inputs!$C$8,2))</f>
        <v/>
      </c>
      <c r="E100" s="13">
        <f>IF(C100&lt;=0.005,0,MIN(Inputs!$C$7,C100+D100))</f>
        <v/>
      </c>
      <c r="F100" s="13">
        <f>E100-D100</f>
        <v/>
      </c>
      <c r="G100" s="13">
        <f>ROUND(C100-F100,2)</f>
        <v/>
      </c>
      <c r="H100" s="14" t="n">
        <v>0</v>
      </c>
      <c r="I100" s="11">
        <f>IF(H100=0,"",IF(A100&lt;2,"X not before month 2",IF(H100&lt;MAX(5000,Inputs!$C$7),"X below min",IF(H100&gt;MIN(5000000,0.75*J100),"X above max","OK"))))</f>
        <v/>
      </c>
      <c r="J100" s="13">
        <f>O99</f>
        <v/>
      </c>
      <c r="K100" s="13">
        <f>IF(J100&lt;=0.005,0,ROUND(J100*Inputs!$C$8,2))</f>
        <v/>
      </c>
      <c r="L100" s="13">
        <f>IF(J100&lt;=0.005,0,MIN(Inputs!$C$7,J100+K100))</f>
        <v/>
      </c>
      <c r="M100" s="13">
        <f>L100-K100</f>
        <v/>
      </c>
      <c r="N100" s="13">
        <f>IF(J100&lt;=0.005,0,MIN(H100,J100-M100))</f>
        <v/>
      </c>
      <c r="O100" s="13">
        <f>ROUND(J100-M100-N100,2)</f>
        <v/>
      </c>
    </row>
    <row r="101">
      <c r="A101" s="11" t="n">
        <v>99</v>
      </c>
      <c r="B101" s="12">
        <f>EDATE(Inputs!$C$6,A101-1)</f>
        <v/>
      </c>
      <c r="C101" s="13">
        <f>G100</f>
        <v/>
      </c>
      <c r="D101" s="13">
        <f>IF(C101&lt;=0.005,0,ROUND(C101*Inputs!$C$8,2))</f>
        <v/>
      </c>
      <c r="E101" s="13">
        <f>IF(C101&lt;=0.005,0,MIN(Inputs!$C$7,C101+D101))</f>
        <v/>
      </c>
      <c r="F101" s="13">
        <f>E101-D101</f>
        <v/>
      </c>
      <c r="G101" s="13">
        <f>ROUND(C101-F101,2)</f>
        <v/>
      </c>
      <c r="H101" s="14" t="n">
        <v>0</v>
      </c>
      <c r="I101" s="11">
        <f>IF(H101=0,"",IF(A101&lt;2,"X not before month 2",IF(H101&lt;MAX(5000,Inputs!$C$7),"X below min",IF(H101&gt;MIN(5000000,0.75*J101),"X above max","OK"))))</f>
        <v/>
      </c>
      <c r="J101" s="13">
        <f>O100</f>
        <v/>
      </c>
      <c r="K101" s="13">
        <f>IF(J101&lt;=0.005,0,ROUND(J101*Inputs!$C$8,2))</f>
        <v/>
      </c>
      <c r="L101" s="13">
        <f>IF(J101&lt;=0.005,0,MIN(Inputs!$C$7,J101+K101))</f>
        <v/>
      </c>
      <c r="M101" s="13">
        <f>L101-K101</f>
        <v/>
      </c>
      <c r="N101" s="13">
        <f>IF(J101&lt;=0.005,0,MIN(H101,J101-M101))</f>
        <v/>
      </c>
      <c r="O101" s="13">
        <f>ROUND(J101-M101-N101,2)</f>
        <v/>
      </c>
    </row>
    <row r="102">
      <c r="A102" s="11" t="n">
        <v>100</v>
      </c>
      <c r="B102" s="12">
        <f>EDATE(Inputs!$C$6,A102-1)</f>
        <v/>
      </c>
      <c r="C102" s="13">
        <f>G101</f>
        <v/>
      </c>
      <c r="D102" s="13">
        <f>IF(C102&lt;=0.005,0,ROUND(C102*Inputs!$C$8,2))</f>
        <v/>
      </c>
      <c r="E102" s="13">
        <f>IF(C102&lt;=0.005,0,MIN(Inputs!$C$7,C102+D102))</f>
        <v/>
      </c>
      <c r="F102" s="13">
        <f>E102-D102</f>
        <v/>
      </c>
      <c r="G102" s="13">
        <f>ROUND(C102-F102,2)</f>
        <v/>
      </c>
      <c r="H102" s="14" t="n">
        <v>0</v>
      </c>
      <c r="I102" s="11">
        <f>IF(H102=0,"",IF(A102&lt;2,"X not before month 2",IF(H102&lt;MAX(5000,Inputs!$C$7),"X below min",IF(H102&gt;MIN(5000000,0.75*J102),"X above max","OK"))))</f>
        <v/>
      </c>
      <c r="J102" s="13">
        <f>O101</f>
        <v/>
      </c>
      <c r="K102" s="13">
        <f>IF(J102&lt;=0.005,0,ROUND(J102*Inputs!$C$8,2))</f>
        <v/>
      </c>
      <c r="L102" s="13">
        <f>IF(J102&lt;=0.005,0,MIN(Inputs!$C$7,J102+K102))</f>
        <v/>
      </c>
      <c r="M102" s="13">
        <f>L102-K102</f>
        <v/>
      </c>
      <c r="N102" s="13">
        <f>IF(J102&lt;=0.005,0,MIN(H102,J102-M102))</f>
        <v/>
      </c>
      <c r="O102" s="13">
        <f>ROUND(J102-M102-N102,2)</f>
        <v/>
      </c>
    </row>
    <row r="103">
      <c r="A103" s="11" t="n">
        <v>101</v>
      </c>
      <c r="B103" s="12">
        <f>EDATE(Inputs!$C$6,A103-1)</f>
        <v/>
      </c>
      <c r="C103" s="13">
        <f>G102</f>
        <v/>
      </c>
      <c r="D103" s="13">
        <f>IF(C103&lt;=0.005,0,ROUND(C103*Inputs!$C$8,2))</f>
        <v/>
      </c>
      <c r="E103" s="13">
        <f>IF(C103&lt;=0.005,0,MIN(Inputs!$C$7,C103+D103))</f>
        <v/>
      </c>
      <c r="F103" s="13">
        <f>E103-D103</f>
        <v/>
      </c>
      <c r="G103" s="13">
        <f>ROUND(C103-F103,2)</f>
        <v/>
      </c>
      <c r="H103" s="14" t="n">
        <v>0</v>
      </c>
      <c r="I103" s="11">
        <f>IF(H103=0,"",IF(A103&lt;2,"X not before month 2",IF(H103&lt;MAX(5000,Inputs!$C$7),"X below min",IF(H103&gt;MIN(5000000,0.75*J103),"X above max","OK"))))</f>
        <v/>
      </c>
      <c r="J103" s="13">
        <f>O102</f>
        <v/>
      </c>
      <c r="K103" s="13">
        <f>IF(J103&lt;=0.005,0,ROUND(J103*Inputs!$C$8,2))</f>
        <v/>
      </c>
      <c r="L103" s="13">
        <f>IF(J103&lt;=0.005,0,MIN(Inputs!$C$7,J103+K103))</f>
        <v/>
      </c>
      <c r="M103" s="13">
        <f>L103-K103</f>
        <v/>
      </c>
      <c r="N103" s="13">
        <f>IF(J103&lt;=0.005,0,MIN(H103,J103-M103))</f>
        <v/>
      </c>
      <c r="O103" s="13">
        <f>ROUND(J103-M103-N103,2)</f>
        <v/>
      </c>
    </row>
    <row r="104">
      <c r="A104" s="11" t="n">
        <v>102</v>
      </c>
      <c r="B104" s="12">
        <f>EDATE(Inputs!$C$6,A104-1)</f>
        <v/>
      </c>
      <c r="C104" s="13">
        <f>G103</f>
        <v/>
      </c>
      <c r="D104" s="13">
        <f>IF(C104&lt;=0.005,0,ROUND(C104*Inputs!$C$8,2))</f>
        <v/>
      </c>
      <c r="E104" s="13">
        <f>IF(C104&lt;=0.005,0,MIN(Inputs!$C$7,C104+D104))</f>
        <v/>
      </c>
      <c r="F104" s="13">
        <f>E104-D104</f>
        <v/>
      </c>
      <c r="G104" s="13">
        <f>ROUND(C104-F104,2)</f>
        <v/>
      </c>
      <c r="H104" s="14" t="n">
        <v>0</v>
      </c>
      <c r="I104" s="11">
        <f>IF(H104=0,"",IF(A104&lt;2,"X not before month 2",IF(H104&lt;MAX(5000,Inputs!$C$7),"X below min",IF(H104&gt;MIN(5000000,0.75*J104),"X above max","OK"))))</f>
        <v/>
      </c>
      <c r="J104" s="13">
        <f>O103</f>
        <v/>
      </c>
      <c r="K104" s="13">
        <f>IF(J104&lt;=0.005,0,ROUND(J104*Inputs!$C$8,2))</f>
        <v/>
      </c>
      <c r="L104" s="13">
        <f>IF(J104&lt;=0.005,0,MIN(Inputs!$C$7,J104+K104))</f>
        <v/>
      </c>
      <c r="M104" s="13">
        <f>L104-K104</f>
        <v/>
      </c>
      <c r="N104" s="13">
        <f>IF(J104&lt;=0.005,0,MIN(H104,J104-M104))</f>
        <v/>
      </c>
      <c r="O104" s="13">
        <f>ROUND(J104-M104-N104,2)</f>
        <v/>
      </c>
    </row>
    <row r="105">
      <c r="A105" s="11" t="n">
        <v>103</v>
      </c>
      <c r="B105" s="12">
        <f>EDATE(Inputs!$C$6,A105-1)</f>
        <v/>
      </c>
      <c r="C105" s="13">
        <f>G104</f>
        <v/>
      </c>
      <c r="D105" s="13">
        <f>IF(C105&lt;=0.005,0,ROUND(C105*Inputs!$C$8,2))</f>
        <v/>
      </c>
      <c r="E105" s="13">
        <f>IF(C105&lt;=0.005,0,MIN(Inputs!$C$7,C105+D105))</f>
        <v/>
      </c>
      <c r="F105" s="13">
        <f>E105-D105</f>
        <v/>
      </c>
      <c r="G105" s="13">
        <f>ROUND(C105-F105,2)</f>
        <v/>
      </c>
      <c r="H105" s="14" t="n">
        <v>0</v>
      </c>
      <c r="I105" s="11">
        <f>IF(H105=0,"",IF(A105&lt;2,"X not before month 2",IF(H105&lt;MAX(5000,Inputs!$C$7),"X below min",IF(H105&gt;MIN(5000000,0.75*J105),"X above max","OK"))))</f>
        <v/>
      </c>
      <c r="J105" s="13">
        <f>O104</f>
        <v/>
      </c>
      <c r="K105" s="13">
        <f>IF(J105&lt;=0.005,0,ROUND(J105*Inputs!$C$8,2))</f>
        <v/>
      </c>
      <c r="L105" s="13">
        <f>IF(J105&lt;=0.005,0,MIN(Inputs!$C$7,J105+K105))</f>
        <v/>
      </c>
      <c r="M105" s="13">
        <f>L105-K105</f>
        <v/>
      </c>
      <c r="N105" s="13">
        <f>IF(J105&lt;=0.005,0,MIN(H105,J105-M105))</f>
        <v/>
      </c>
      <c r="O105" s="13">
        <f>ROUND(J105-M105-N105,2)</f>
        <v/>
      </c>
    </row>
    <row r="106">
      <c r="A106" s="11" t="n">
        <v>104</v>
      </c>
      <c r="B106" s="12">
        <f>EDATE(Inputs!$C$6,A106-1)</f>
        <v/>
      </c>
      <c r="C106" s="13">
        <f>G105</f>
        <v/>
      </c>
      <c r="D106" s="13">
        <f>IF(C106&lt;=0.005,0,ROUND(C106*Inputs!$C$8,2))</f>
        <v/>
      </c>
      <c r="E106" s="13">
        <f>IF(C106&lt;=0.005,0,MIN(Inputs!$C$7,C106+D106))</f>
        <v/>
      </c>
      <c r="F106" s="13">
        <f>E106-D106</f>
        <v/>
      </c>
      <c r="G106" s="13">
        <f>ROUND(C106-F106,2)</f>
        <v/>
      </c>
      <c r="H106" s="14" t="n">
        <v>0</v>
      </c>
      <c r="I106" s="11">
        <f>IF(H106=0,"",IF(A106&lt;2,"X not before month 2",IF(H106&lt;MAX(5000,Inputs!$C$7),"X below min",IF(H106&gt;MIN(5000000,0.75*J106),"X above max","OK"))))</f>
        <v/>
      </c>
      <c r="J106" s="13">
        <f>O105</f>
        <v/>
      </c>
      <c r="K106" s="13">
        <f>IF(J106&lt;=0.005,0,ROUND(J106*Inputs!$C$8,2))</f>
        <v/>
      </c>
      <c r="L106" s="13">
        <f>IF(J106&lt;=0.005,0,MIN(Inputs!$C$7,J106+K106))</f>
        <v/>
      </c>
      <c r="M106" s="13">
        <f>L106-K106</f>
        <v/>
      </c>
      <c r="N106" s="13">
        <f>IF(J106&lt;=0.005,0,MIN(H106,J106-M106))</f>
        <v/>
      </c>
      <c r="O106" s="13">
        <f>ROUND(J106-M106-N106,2)</f>
        <v/>
      </c>
    </row>
    <row r="107">
      <c r="A107" s="11" t="n">
        <v>105</v>
      </c>
      <c r="B107" s="12">
        <f>EDATE(Inputs!$C$6,A107-1)</f>
        <v/>
      </c>
      <c r="C107" s="13">
        <f>G106</f>
        <v/>
      </c>
      <c r="D107" s="13">
        <f>IF(C107&lt;=0.005,0,ROUND(C107*Inputs!$C$8,2))</f>
        <v/>
      </c>
      <c r="E107" s="13">
        <f>IF(C107&lt;=0.005,0,MIN(Inputs!$C$7,C107+D107))</f>
        <v/>
      </c>
      <c r="F107" s="13">
        <f>E107-D107</f>
        <v/>
      </c>
      <c r="G107" s="13">
        <f>ROUND(C107-F107,2)</f>
        <v/>
      </c>
      <c r="H107" s="14" t="n">
        <v>0</v>
      </c>
      <c r="I107" s="11">
        <f>IF(H107=0,"",IF(A107&lt;2,"X not before month 2",IF(H107&lt;MAX(5000,Inputs!$C$7),"X below min",IF(H107&gt;MIN(5000000,0.75*J107),"X above max","OK"))))</f>
        <v/>
      </c>
      <c r="J107" s="13">
        <f>O106</f>
        <v/>
      </c>
      <c r="K107" s="13">
        <f>IF(J107&lt;=0.005,0,ROUND(J107*Inputs!$C$8,2))</f>
        <v/>
      </c>
      <c r="L107" s="13">
        <f>IF(J107&lt;=0.005,0,MIN(Inputs!$C$7,J107+K107))</f>
        <v/>
      </c>
      <c r="M107" s="13">
        <f>L107-K107</f>
        <v/>
      </c>
      <c r="N107" s="13">
        <f>IF(J107&lt;=0.005,0,MIN(H107,J107-M107))</f>
        <v/>
      </c>
      <c r="O107" s="13">
        <f>ROUND(J107-M107-N107,2)</f>
        <v/>
      </c>
    </row>
    <row r="108">
      <c r="A108" s="11" t="n">
        <v>106</v>
      </c>
      <c r="B108" s="12">
        <f>EDATE(Inputs!$C$6,A108-1)</f>
        <v/>
      </c>
      <c r="C108" s="13">
        <f>G107</f>
        <v/>
      </c>
      <c r="D108" s="13">
        <f>IF(C108&lt;=0.005,0,ROUND(C108*Inputs!$C$8,2))</f>
        <v/>
      </c>
      <c r="E108" s="13">
        <f>IF(C108&lt;=0.005,0,MIN(Inputs!$C$7,C108+D108))</f>
        <v/>
      </c>
      <c r="F108" s="13">
        <f>E108-D108</f>
        <v/>
      </c>
      <c r="G108" s="13">
        <f>ROUND(C108-F108,2)</f>
        <v/>
      </c>
      <c r="H108" s="14" t="n">
        <v>0</v>
      </c>
      <c r="I108" s="11">
        <f>IF(H108=0,"",IF(A108&lt;2,"X not before month 2",IF(H108&lt;MAX(5000,Inputs!$C$7),"X below min",IF(H108&gt;MIN(5000000,0.75*J108),"X above max","OK"))))</f>
        <v/>
      </c>
      <c r="J108" s="13">
        <f>O107</f>
        <v/>
      </c>
      <c r="K108" s="13">
        <f>IF(J108&lt;=0.005,0,ROUND(J108*Inputs!$C$8,2))</f>
        <v/>
      </c>
      <c r="L108" s="13">
        <f>IF(J108&lt;=0.005,0,MIN(Inputs!$C$7,J108+K108))</f>
        <v/>
      </c>
      <c r="M108" s="13">
        <f>L108-K108</f>
        <v/>
      </c>
      <c r="N108" s="13">
        <f>IF(J108&lt;=0.005,0,MIN(H108,J108-M108))</f>
        <v/>
      </c>
      <c r="O108" s="13">
        <f>ROUND(J108-M108-N108,2)</f>
        <v/>
      </c>
    </row>
    <row r="109">
      <c r="A109" s="11" t="n">
        <v>107</v>
      </c>
      <c r="B109" s="12">
        <f>EDATE(Inputs!$C$6,A109-1)</f>
        <v/>
      </c>
      <c r="C109" s="13">
        <f>G108</f>
        <v/>
      </c>
      <c r="D109" s="13">
        <f>IF(C109&lt;=0.005,0,ROUND(C109*Inputs!$C$8,2))</f>
        <v/>
      </c>
      <c r="E109" s="13">
        <f>IF(C109&lt;=0.005,0,MIN(Inputs!$C$7,C109+D109))</f>
        <v/>
      </c>
      <c r="F109" s="13">
        <f>E109-D109</f>
        <v/>
      </c>
      <c r="G109" s="13">
        <f>ROUND(C109-F109,2)</f>
        <v/>
      </c>
      <c r="H109" s="14" t="n">
        <v>0</v>
      </c>
      <c r="I109" s="11">
        <f>IF(H109=0,"",IF(A109&lt;2,"X not before month 2",IF(H109&lt;MAX(5000,Inputs!$C$7),"X below min",IF(H109&gt;MIN(5000000,0.75*J109),"X above max","OK"))))</f>
        <v/>
      </c>
      <c r="J109" s="13">
        <f>O108</f>
        <v/>
      </c>
      <c r="K109" s="13">
        <f>IF(J109&lt;=0.005,0,ROUND(J109*Inputs!$C$8,2))</f>
        <v/>
      </c>
      <c r="L109" s="13">
        <f>IF(J109&lt;=0.005,0,MIN(Inputs!$C$7,J109+K109))</f>
        <v/>
      </c>
      <c r="M109" s="13">
        <f>L109-K109</f>
        <v/>
      </c>
      <c r="N109" s="13">
        <f>IF(J109&lt;=0.005,0,MIN(H109,J109-M109))</f>
        <v/>
      </c>
      <c r="O109" s="13">
        <f>ROUND(J109-M109-N109,2)</f>
        <v/>
      </c>
    </row>
    <row r="110">
      <c r="A110" s="11" t="n">
        <v>108</v>
      </c>
      <c r="B110" s="12">
        <f>EDATE(Inputs!$C$6,A110-1)</f>
        <v/>
      </c>
      <c r="C110" s="13">
        <f>G109</f>
        <v/>
      </c>
      <c r="D110" s="13">
        <f>IF(C110&lt;=0.005,0,ROUND(C110*Inputs!$C$8,2))</f>
        <v/>
      </c>
      <c r="E110" s="13">
        <f>IF(C110&lt;=0.005,0,MIN(Inputs!$C$7,C110+D110))</f>
        <v/>
      </c>
      <c r="F110" s="13">
        <f>E110-D110</f>
        <v/>
      </c>
      <c r="G110" s="13">
        <f>ROUND(C110-F110,2)</f>
        <v/>
      </c>
      <c r="H110" s="14" t="n">
        <v>0</v>
      </c>
      <c r="I110" s="11">
        <f>IF(H110=0,"",IF(A110&lt;2,"X not before month 2",IF(H110&lt;MAX(5000,Inputs!$C$7),"X below min",IF(H110&gt;MIN(5000000,0.75*J110),"X above max","OK"))))</f>
        <v/>
      </c>
      <c r="J110" s="13">
        <f>O109</f>
        <v/>
      </c>
      <c r="K110" s="13">
        <f>IF(J110&lt;=0.005,0,ROUND(J110*Inputs!$C$8,2))</f>
        <v/>
      </c>
      <c r="L110" s="13">
        <f>IF(J110&lt;=0.005,0,MIN(Inputs!$C$7,J110+K110))</f>
        <v/>
      </c>
      <c r="M110" s="13">
        <f>L110-K110</f>
        <v/>
      </c>
      <c r="N110" s="13">
        <f>IF(J110&lt;=0.005,0,MIN(H110,J110-M110))</f>
        <v/>
      </c>
      <c r="O110" s="13">
        <f>ROUND(J110-M110-N110,2)</f>
        <v/>
      </c>
    </row>
    <row r="111">
      <c r="A111" s="11" t="n">
        <v>109</v>
      </c>
      <c r="B111" s="12">
        <f>EDATE(Inputs!$C$6,A111-1)</f>
        <v/>
      </c>
      <c r="C111" s="13">
        <f>G110</f>
        <v/>
      </c>
      <c r="D111" s="13">
        <f>IF(C111&lt;=0.005,0,ROUND(C111*Inputs!$C$8,2))</f>
        <v/>
      </c>
      <c r="E111" s="13">
        <f>IF(C111&lt;=0.005,0,MIN(Inputs!$C$7,C111+D111))</f>
        <v/>
      </c>
      <c r="F111" s="13">
        <f>E111-D111</f>
        <v/>
      </c>
      <c r="G111" s="13">
        <f>ROUND(C111-F111,2)</f>
        <v/>
      </c>
      <c r="H111" s="14" t="n">
        <v>0</v>
      </c>
      <c r="I111" s="11">
        <f>IF(H111=0,"",IF(A111&lt;2,"X not before month 2",IF(H111&lt;MAX(5000,Inputs!$C$7),"X below min",IF(H111&gt;MIN(5000000,0.75*J111),"X above max","OK"))))</f>
        <v/>
      </c>
      <c r="J111" s="13">
        <f>O110</f>
        <v/>
      </c>
      <c r="K111" s="13">
        <f>IF(J111&lt;=0.005,0,ROUND(J111*Inputs!$C$8,2))</f>
        <v/>
      </c>
      <c r="L111" s="13">
        <f>IF(J111&lt;=0.005,0,MIN(Inputs!$C$7,J111+K111))</f>
        <v/>
      </c>
      <c r="M111" s="13">
        <f>L111-K111</f>
        <v/>
      </c>
      <c r="N111" s="13">
        <f>IF(J111&lt;=0.005,0,MIN(H111,J111-M111))</f>
        <v/>
      </c>
      <c r="O111" s="13">
        <f>ROUND(J111-M111-N111,2)</f>
        <v/>
      </c>
    </row>
    <row r="112">
      <c r="A112" s="11" t="n">
        <v>110</v>
      </c>
      <c r="B112" s="12">
        <f>EDATE(Inputs!$C$6,A112-1)</f>
        <v/>
      </c>
      <c r="C112" s="13">
        <f>G111</f>
        <v/>
      </c>
      <c r="D112" s="13">
        <f>IF(C112&lt;=0.005,0,ROUND(C112*Inputs!$C$8,2))</f>
        <v/>
      </c>
      <c r="E112" s="13">
        <f>IF(C112&lt;=0.005,0,MIN(Inputs!$C$7,C112+D112))</f>
        <v/>
      </c>
      <c r="F112" s="13">
        <f>E112-D112</f>
        <v/>
      </c>
      <c r="G112" s="13">
        <f>ROUND(C112-F112,2)</f>
        <v/>
      </c>
      <c r="H112" s="14" t="n">
        <v>0</v>
      </c>
      <c r="I112" s="11">
        <f>IF(H112=0,"",IF(A112&lt;2,"X not before month 2",IF(H112&lt;MAX(5000,Inputs!$C$7),"X below min",IF(H112&gt;MIN(5000000,0.75*J112),"X above max","OK"))))</f>
        <v/>
      </c>
      <c r="J112" s="13">
        <f>O111</f>
        <v/>
      </c>
      <c r="K112" s="13">
        <f>IF(J112&lt;=0.005,0,ROUND(J112*Inputs!$C$8,2))</f>
        <v/>
      </c>
      <c r="L112" s="13">
        <f>IF(J112&lt;=0.005,0,MIN(Inputs!$C$7,J112+K112))</f>
        <v/>
      </c>
      <c r="M112" s="13">
        <f>L112-K112</f>
        <v/>
      </c>
      <c r="N112" s="13">
        <f>IF(J112&lt;=0.005,0,MIN(H112,J112-M112))</f>
        <v/>
      </c>
      <c r="O112" s="13">
        <f>ROUND(J112-M112-N112,2)</f>
        <v/>
      </c>
    </row>
    <row r="113">
      <c r="A113" s="11" t="n">
        <v>111</v>
      </c>
      <c r="B113" s="12">
        <f>EDATE(Inputs!$C$6,A113-1)</f>
        <v/>
      </c>
      <c r="C113" s="13">
        <f>G112</f>
        <v/>
      </c>
      <c r="D113" s="13">
        <f>IF(C113&lt;=0.005,0,ROUND(C113*Inputs!$C$8,2))</f>
        <v/>
      </c>
      <c r="E113" s="13">
        <f>IF(C113&lt;=0.005,0,MIN(Inputs!$C$7,C113+D113))</f>
        <v/>
      </c>
      <c r="F113" s="13">
        <f>E113-D113</f>
        <v/>
      </c>
      <c r="G113" s="13">
        <f>ROUND(C113-F113,2)</f>
        <v/>
      </c>
      <c r="H113" s="14" t="n">
        <v>0</v>
      </c>
      <c r="I113" s="11">
        <f>IF(H113=0,"",IF(A113&lt;2,"X not before month 2",IF(H113&lt;MAX(5000,Inputs!$C$7),"X below min",IF(H113&gt;MIN(5000000,0.75*J113),"X above max","OK"))))</f>
        <v/>
      </c>
      <c r="J113" s="13">
        <f>O112</f>
        <v/>
      </c>
      <c r="K113" s="13">
        <f>IF(J113&lt;=0.005,0,ROUND(J113*Inputs!$C$8,2))</f>
        <v/>
      </c>
      <c r="L113" s="13">
        <f>IF(J113&lt;=0.005,0,MIN(Inputs!$C$7,J113+K113))</f>
        <v/>
      </c>
      <c r="M113" s="13">
        <f>L113-K113</f>
        <v/>
      </c>
      <c r="N113" s="13">
        <f>IF(J113&lt;=0.005,0,MIN(H113,J113-M113))</f>
        <v/>
      </c>
      <c r="O113" s="13">
        <f>ROUND(J113-M113-N113,2)</f>
        <v/>
      </c>
    </row>
    <row r="114">
      <c r="A114" s="11" t="n">
        <v>112</v>
      </c>
      <c r="B114" s="12">
        <f>EDATE(Inputs!$C$6,A114-1)</f>
        <v/>
      </c>
      <c r="C114" s="13">
        <f>G113</f>
        <v/>
      </c>
      <c r="D114" s="13">
        <f>IF(C114&lt;=0.005,0,ROUND(C114*Inputs!$C$8,2))</f>
        <v/>
      </c>
      <c r="E114" s="13">
        <f>IF(C114&lt;=0.005,0,MIN(Inputs!$C$7,C114+D114))</f>
        <v/>
      </c>
      <c r="F114" s="13">
        <f>E114-D114</f>
        <v/>
      </c>
      <c r="G114" s="13">
        <f>ROUND(C114-F114,2)</f>
        <v/>
      </c>
      <c r="H114" s="14" t="n">
        <v>0</v>
      </c>
      <c r="I114" s="11">
        <f>IF(H114=0,"",IF(A114&lt;2,"X not before month 2",IF(H114&lt;MAX(5000,Inputs!$C$7),"X below min",IF(H114&gt;MIN(5000000,0.75*J114),"X above max","OK"))))</f>
        <v/>
      </c>
      <c r="J114" s="13">
        <f>O113</f>
        <v/>
      </c>
      <c r="K114" s="13">
        <f>IF(J114&lt;=0.005,0,ROUND(J114*Inputs!$C$8,2))</f>
        <v/>
      </c>
      <c r="L114" s="13">
        <f>IF(J114&lt;=0.005,0,MIN(Inputs!$C$7,J114+K114))</f>
        <v/>
      </c>
      <c r="M114" s="13">
        <f>L114-K114</f>
        <v/>
      </c>
      <c r="N114" s="13">
        <f>IF(J114&lt;=0.005,0,MIN(H114,J114-M114))</f>
        <v/>
      </c>
      <c r="O114" s="13">
        <f>ROUND(J114-M114-N114,2)</f>
        <v/>
      </c>
    </row>
    <row r="115">
      <c r="A115" s="11" t="n">
        <v>113</v>
      </c>
      <c r="B115" s="12">
        <f>EDATE(Inputs!$C$6,A115-1)</f>
        <v/>
      </c>
      <c r="C115" s="13">
        <f>G114</f>
        <v/>
      </c>
      <c r="D115" s="13">
        <f>IF(C115&lt;=0.005,0,ROUND(C115*Inputs!$C$8,2))</f>
        <v/>
      </c>
      <c r="E115" s="13">
        <f>IF(C115&lt;=0.005,0,MIN(Inputs!$C$7,C115+D115))</f>
        <v/>
      </c>
      <c r="F115" s="13">
        <f>E115-D115</f>
        <v/>
      </c>
      <c r="G115" s="13">
        <f>ROUND(C115-F115,2)</f>
        <v/>
      </c>
      <c r="H115" s="14" t="n">
        <v>0</v>
      </c>
      <c r="I115" s="11">
        <f>IF(H115=0,"",IF(A115&lt;2,"X not before month 2",IF(H115&lt;MAX(5000,Inputs!$C$7),"X below min",IF(H115&gt;MIN(5000000,0.75*J115),"X above max","OK"))))</f>
        <v/>
      </c>
      <c r="J115" s="13">
        <f>O114</f>
        <v/>
      </c>
      <c r="K115" s="13">
        <f>IF(J115&lt;=0.005,0,ROUND(J115*Inputs!$C$8,2))</f>
        <v/>
      </c>
      <c r="L115" s="13">
        <f>IF(J115&lt;=0.005,0,MIN(Inputs!$C$7,J115+K115))</f>
        <v/>
      </c>
      <c r="M115" s="13">
        <f>L115-K115</f>
        <v/>
      </c>
      <c r="N115" s="13">
        <f>IF(J115&lt;=0.005,0,MIN(H115,J115-M115))</f>
        <v/>
      </c>
      <c r="O115" s="13">
        <f>ROUND(J115-M115-N115,2)</f>
        <v/>
      </c>
    </row>
    <row r="116">
      <c r="A116" s="11" t="n">
        <v>114</v>
      </c>
      <c r="B116" s="12">
        <f>EDATE(Inputs!$C$6,A116-1)</f>
        <v/>
      </c>
      <c r="C116" s="13">
        <f>G115</f>
        <v/>
      </c>
      <c r="D116" s="13">
        <f>IF(C116&lt;=0.005,0,ROUND(C116*Inputs!$C$8,2))</f>
        <v/>
      </c>
      <c r="E116" s="13">
        <f>IF(C116&lt;=0.005,0,MIN(Inputs!$C$7,C116+D116))</f>
        <v/>
      </c>
      <c r="F116" s="13">
        <f>E116-D116</f>
        <v/>
      </c>
      <c r="G116" s="13">
        <f>ROUND(C116-F116,2)</f>
        <v/>
      </c>
      <c r="H116" s="14" t="n">
        <v>0</v>
      </c>
      <c r="I116" s="11">
        <f>IF(H116=0,"",IF(A116&lt;2,"X not before month 2",IF(H116&lt;MAX(5000,Inputs!$C$7),"X below min",IF(H116&gt;MIN(5000000,0.75*J116),"X above max","OK"))))</f>
        <v/>
      </c>
      <c r="J116" s="13">
        <f>O115</f>
        <v/>
      </c>
      <c r="K116" s="13">
        <f>IF(J116&lt;=0.005,0,ROUND(J116*Inputs!$C$8,2))</f>
        <v/>
      </c>
      <c r="L116" s="13">
        <f>IF(J116&lt;=0.005,0,MIN(Inputs!$C$7,J116+K116))</f>
        <v/>
      </c>
      <c r="M116" s="13">
        <f>L116-K116</f>
        <v/>
      </c>
      <c r="N116" s="13">
        <f>IF(J116&lt;=0.005,0,MIN(H116,J116-M116))</f>
        <v/>
      </c>
      <c r="O116" s="13">
        <f>ROUND(J116-M116-N116,2)</f>
        <v/>
      </c>
    </row>
    <row r="117">
      <c r="A117" s="11" t="n">
        <v>115</v>
      </c>
      <c r="B117" s="12">
        <f>EDATE(Inputs!$C$6,A117-1)</f>
        <v/>
      </c>
      <c r="C117" s="13">
        <f>G116</f>
        <v/>
      </c>
      <c r="D117" s="13">
        <f>IF(C117&lt;=0.005,0,ROUND(C117*Inputs!$C$8,2))</f>
        <v/>
      </c>
      <c r="E117" s="13">
        <f>IF(C117&lt;=0.005,0,MIN(Inputs!$C$7,C117+D117))</f>
        <v/>
      </c>
      <c r="F117" s="13">
        <f>E117-D117</f>
        <v/>
      </c>
      <c r="G117" s="13">
        <f>ROUND(C117-F117,2)</f>
        <v/>
      </c>
      <c r="H117" s="14" t="n">
        <v>0</v>
      </c>
      <c r="I117" s="11">
        <f>IF(H117=0,"",IF(A117&lt;2,"X not before month 2",IF(H117&lt;MAX(5000,Inputs!$C$7),"X below min",IF(H117&gt;MIN(5000000,0.75*J117),"X above max","OK"))))</f>
        <v/>
      </c>
      <c r="J117" s="13">
        <f>O116</f>
        <v/>
      </c>
      <c r="K117" s="13">
        <f>IF(J117&lt;=0.005,0,ROUND(J117*Inputs!$C$8,2))</f>
        <v/>
      </c>
      <c r="L117" s="13">
        <f>IF(J117&lt;=0.005,0,MIN(Inputs!$C$7,J117+K117))</f>
        <v/>
      </c>
      <c r="M117" s="13">
        <f>L117-K117</f>
        <v/>
      </c>
      <c r="N117" s="13">
        <f>IF(J117&lt;=0.005,0,MIN(H117,J117-M117))</f>
        <v/>
      </c>
      <c r="O117" s="13">
        <f>ROUND(J117-M117-N117,2)</f>
        <v/>
      </c>
    </row>
    <row r="118">
      <c r="A118" s="11" t="n">
        <v>116</v>
      </c>
      <c r="B118" s="12">
        <f>EDATE(Inputs!$C$6,A118-1)</f>
        <v/>
      </c>
      <c r="C118" s="13">
        <f>G117</f>
        <v/>
      </c>
      <c r="D118" s="13">
        <f>IF(C118&lt;=0.005,0,ROUND(C118*Inputs!$C$8,2))</f>
        <v/>
      </c>
      <c r="E118" s="13">
        <f>IF(C118&lt;=0.005,0,MIN(Inputs!$C$7,C118+D118))</f>
        <v/>
      </c>
      <c r="F118" s="13">
        <f>E118-D118</f>
        <v/>
      </c>
      <c r="G118" s="13">
        <f>ROUND(C118-F118,2)</f>
        <v/>
      </c>
      <c r="H118" s="14" t="n">
        <v>0</v>
      </c>
      <c r="I118" s="11">
        <f>IF(H118=0,"",IF(A118&lt;2,"X not before month 2",IF(H118&lt;MAX(5000,Inputs!$C$7),"X below min",IF(H118&gt;MIN(5000000,0.75*J118),"X above max","OK"))))</f>
        <v/>
      </c>
      <c r="J118" s="13">
        <f>O117</f>
        <v/>
      </c>
      <c r="K118" s="13">
        <f>IF(J118&lt;=0.005,0,ROUND(J118*Inputs!$C$8,2))</f>
        <v/>
      </c>
      <c r="L118" s="13">
        <f>IF(J118&lt;=0.005,0,MIN(Inputs!$C$7,J118+K118))</f>
        <v/>
      </c>
      <c r="M118" s="13">
        <f>L118-K118</f>
        <v/>
      </c>
      <c r="N118" s="13">
        <f>IF(J118&lt;=0.005,0,MIN(H118,J118-M118))</f>
        <v/>
      </c>
      <c r="O118" s="13">
        <f>ROUND(J118-M118-N118,2)</f>
        <v/>
      </c>
    </row>
    <row r="119">
      <c r="A119" s="11" t="n">
        <v>117</v>
      </c>
      <c r="B119" s="12">
        <f>EDATE(Inputs!$C$6,A119-1)</f>
        <v/>
      </c>
      <c r="C119" s="13">
        <f>G118</f>
        <v/>
      </c>
      <c r="D119" s="13">
        <f>IF(C119&lt;=0.005,0,ROUND(C119*Inputs!$C$8,2))</f>
        <v/>
      </c>
      <c r="E119" s="13">
        <f>IF(C119&lt;=0.005,0,MIN(Inputs!$C$7,C119+D119))</f>
        <v/>
      </c>
      <c r="F119" s="13">
        <f>E119-D119</f>
        <v/>
      </c>
      <c r="G119" s="13">
        <f>ROUND(C119-F119,2)</f>
        <v/>
      </c>
      <c r="H119" s="14" t="n">
        <v>0</v>
      </c>
      <c r="I119" s="11">
        <f>IF(H119=0,"",IF(A119&lt;2,"X not before month 2",IF(H119&lt;MAX(5000,Inputs!$C$7),"X below min",IF(H119&gt;MIN(5000000,0.75*J119),"X above max","OK"))))</f>
        <v/>
      </c>
      <c r="J119" s="13">
        <f>O118</f>
        <v/>
      </c>
      <c r="K119" s="13">
        <f>IF(J119&lt;=0.005,0,ROUND(J119*Inputs!$C$8,2))</f>
        <v/>
      </c>
      <c r="L119" s="13">
        <f>IF(J119&lt;=0.005,0,MIN(Inputs!$C$7,J119+K119))</f>
        <v/>
      </c>
      <c r="M119" s="13">
        <f>L119-K119</f>
        <v/>
      </c>
      <c r="N119" s="13">
        <f>IF(J119&lt;=0.005,0,MIN(H119,J119-M119))</f>
        <v/>
      </c>
      <c r="O119" s="13">
        <f>ROUND(J119-M119-N119,2)</f>
        <v/>
      </c>
    </row>
    <row r="120">
      <c r="A120" s="11" t="n">
        <v>118</v>
      </c>
      <c r="B120" s="12">
        <f>EDATE(Inputs!$C$6,A120-1)</f>
        <v/>
      </c>
      <c r="C120" s="13">
        <f>G119</f>
        <v/>
      </c>
      <c r="D120" s="13">
        <f>IF(C120&lt;=0.005,0,ROUND(C120*Inputs!$C$8,2))</f>
        <v/>
      </c>
      <c r="E120" s="13">
        <f>IF(C120&lt;=0.005,0,MIN(Inputs!$C$7,C120+D120))</f>
        <v/>
      </c>
      <c r="F120" s="13">
        <f>E120-D120</f>
        <v/>
      </c>
      <c r="G120" s="13">
        <f>ROUND(C120-F120,2)</f>
        <v/>
      </c>
      <c r="H120" s="14" t="n">
        <v>0</v>
      </c>
      <c r="I120" s="11">
        <f>IF(H120=0,"",IF(A120&lt;2,"X not before month 2",IF(H120&lt;MAX(5000,Inputs!$C$7),"X below min",IF(H120&gt;MIN(5000000,0.75*J120),"X above max","OK"))))</f>
        <v/>
      </c>
      <c r="J120" s="13">
        <f>O119</f>
        <v/>
      </c>
      <c r="K120" s="13">
        <f>IF(J120&lt;=0.005,0,ROUND(J120*Inputs!$C$8,2))</f>
        <v/>
      </c>
      <c r="L120" s="13">
        <f>IF(J120&lt;=0.005,0,MIN(Inputs!$C$7,J120+K120))</f>
        <v/>
      </c>
      <c r="M120" s="13">
        <f>L120-K120</f>
        <v/>
      </c>
      <c r="N120" s="13">
        <f>IF(J120&lt;=0.005,0,MIN(H120,J120-M120))</f>
        <v/>
      </c>
      <c r="O120" s="13">
        <f>ROUND(J120-M120-N120,2)</f>
        <v/>
      </c>
    </row>
    <row r="121">
      <c r="A121" s="11" t="n">
        <v>119</v>
      </c>
      <c r="B121" s="12">
        <f>EDATE(Inputs!$C$6,A121-1)</f>
        <v/>
      </c>
      <c r="C121" s="13">
        <f>G120</f>
        <v/>
      </c>
      <c r="D121" s="13">
        <f>IF(C121&lt;=0.005,0,ROUND(C121*Inputs!$C$8,2))</f>
        <v/>
      </c>
      <c r="E121" s="13">
        <f>IF(C121&lt;=0.005,0,MIN(Inputs!$C$7,C121+D121))</f>
        <v/>
      </c>
      <c r="F121" s="13">
        <f>E121-D121</f>
        <v/>
      </c>
      <c r="G121" s="13">
        <f>ROUND(C121-F121,2)</f>
        <v/>
      </c>
      <c r="H121" s="14" t="n">
        <v>0</v>
      </c>
      <c r="I121" s="11">
        <f>IF(H121=0,"",IF(A121&lt;2,"X not before month 2",IF(H121&lt;MAX(5000,Inputs!$C$7),"X below min",IF(H121&gt;MIN(5000000,0.75*J121),"X above max","OK"))))</f>
        <v/>
      </c>
      <c r="J121" s="13">
        <f>O120</f>
        <v/>
      </c>
      <c r="K121" s="13">
        <f>IF(J121&lt;=0.005,0,ROUND(J121*Inputs!$C$8,2))</f>
        <v/>
      </c>
      <c r="L121" s="13">
        <f>IF(J121&lt;=0.005,0,MIN(Inputs!$C$7,J121+K121))</f>
        <v/>
      </c>
      <c r="M121" s="13">
        <f>L121-K121</f>
        <v/>
      </c>
      <c r="N121" s="13">
        <f>IF(J121&lt;=0.005,0,MIN(H121,J121-M121))</f>
        <v/>
      </c>
      <c r="O121" s="13">
        <f>ROUND(J121-M121-N121,2)</f>
        <v/>
      </c>
    </row>
    <row r="122">
      <c r="A122" s="11" t="n">
        <v>120</v>
      </c>
      <c r="B122" s="12">
        <f>EDATE(Inputs!$C$6,A122-1)</f>
        <v/>
      </c>
      <c r="C122" s="13">
        <f>G121</f>
        <v/>
      </c>
      <c r="D122" s="13">
        <f>IF(C122&lt;=0.005,0,ROUND(C122*Inputs!$C$8,2))</f>
        <v/>
      </c>
      <c r="E122" s="13">
        <f>IF(C122&lt;=0.005,0,MIN(Inputs!$C$7,C122+D122))</f>
        <v/>
      </c>
      <c r="F122" s="13">
        <f>E122-D122</f>
        <v/>
      </c>
      <c r="G122" s="13">
        <f>ROUND(C122-F122,2)</f>
        <v/>
      </c>
      <c r="H122" s="14" t="n">
        <v>0</v>
      </c>
      <c r="I122" s="11">
        <f>IF(H122=0,"",IF(A122&lt;2,"X not before month 2",IF(H122&lt;MAX(5000,Inputs!$C$7),"X below min",IF(H122&gt;MIN(5000000,0.75*J122),"X above max","OK"))))</f>
        <v/>
      </c>
      <c r="J122" s="13">
        <f>O121</f>
        <v/>
      </c>
      <c r="K122" s="13">
        <f>IF(J122&lt;=0.005,0,ROUND(J122*Inputs!$C$8,2))</f>
        <v/>
      </c>
      <c r="L122" s="13">
        <f>IF(J122&lt;=0.005,0,MIN(Inputs!$C$7,J122+K122))</f>
        <v/>
      </c>
      <c r="M122" s="13">
        <f>L122-K122</f>
        <v/>
      </c>
      <c r="N122" s="13">
        <f>IF(J122&lt;=0.005,0,MIN(H122,J122-M122))</f>
        <v/>
      </c>
      <c r="O122" s="13">
        <f>ROUND(J122-M122-N122,2)</f>
        <v/>
      </c>
    </row>
    <row r="123">
      <c r="A123" s="11" t="n">
        <v>121</v>
      </c>
      <c r="B123" s="12">
        <f>EDATE(Inputs!$C$6,A123-1)</f>
        <v/>
      </c>
      <c r="C123" s="13">
        <f>G122</f>
        <v/>
      </c>
      <c r="D123" s="13">
        <f>IF(C123&lt;=0.005,0,ROUND(C123*Inputs!$C$8,2))</f>
        <v/>
      </c>
      <c r="E123" s="13">
        <f>IF(C123&lt;=0.005,0,MIN(Inputs!$C$7,C123+D123))</f>
        <v/>
      </c>
      <c r="F123" s="13">
        <f>E123-D123</f>
        <v/>
      </c>
      <c r="G123" s="13">
        <f>ROUND(C123-F123,2)</f>
        <v/>
      </c>
      <c r="H123" s="14" t="n">
        <v>0</v>
      </c>
      <c r="I123" s="11">
        <f>IF(H123=0,"",IF(A123&lt;2,"X not before month 2",IF(H123&lt;MAX(5000,Inputs!$C$7),"X below min",IF(H123&gt;MIN(5000000,0.75*J123),"X above max","OK"))))</f>
        <v/>
      </c>
      <c r="J123" s="13">
        <f>O122</f>
        <v/>
      </c>
      <c r="K123" s="13">
        <f>IF(J123&lt;=0.005,0,ROUND(J123*Inputs!$C$8,2))</f>
        <v/>
      </c>
      <c r="L123" s="13">
        <f>IF(J123&lt;=0.005,0,MIN(Inputs!$C$7,J123+K123))</f>
        <v/>
      </c>
      <c r="M123" s="13">
        <f>L123-K123</f>
        <v/>
      </c>
      <c r="N123" s="13">
        <f>IF(J123&lt;=0.005,0,MIN(H123,J123-M123))</f>
        <v/>
      </c>
      <c r="O123" s="13">
        <f>ROUND(J123-M123-N123,2)</f>
        <v/>
      </c>
    </row>
    <row r="124">
      <c r="A124" s="11" t="n">
        <v>122</v>
      </c>
      <c r="B124" s="12">
        <f>EDATE(Inputs!$C$6,A124-1)</f>
        <v/>
      </c>
      <c r="C124" s="13">
        <f>G123</f>
        <v/>
      </c>
      <c r="D124" s="13">
        <f>IF(C124&lt;=0.005,0,ROUND(C124*Inputs!$C$8,2))</f>
        <v/>
      </c>
      <c r="E124" s="13">
        <f>IF(C124&lt;=0.005,0,MIN(Inputs!$C$7,C124+D124))</f>
        <v/>
      </c>
      <c r="F124" s="13">
        <f>E124-D124</f>
        <v/>
      </c>
      <c r="G124" s="13">
        <f>ROUND(C124-F124,2)</f>
        <v/>
      </c>
      <c r="H124" s="14" t="n">
        <v>0</v>
      </c>
      <c r="I124" s="11">
        <f>IF(H124=0,"",IF(A124&lt;2,"X not before month 2",IF(H124&lt;MAX(5000,Inputs!$C$7),"X below min",IF(H124&gt;MIN(5000000,0.75*J124),"X above max","OK"))))</f>
        <v/>
      </c>
      <c r="J124" s="13">
        <f>O123</f>
        <v/>
      </c>
      <c r="K124" s="13">
        <f>IF(J124&lt;=0.005,0,ROUND(J124*Inputs!$C$8,2))</f>
        <v/>
      </c>
      <c r="L124" s="13">
        <f>IF(J124&lt;=0.005,0,MIN(Inputs!$C$7,J124+K124))</f>
        <v/>
      </c>
      <c r="M124" s="13">
        <f>L124-K124</f>
        <v/>
      </c>
      <c r="N124" s="13">
        <f>IF(J124&lt;=0.005,0,MIN(H124,J124-M124))</f>
        <v/>
      </c>
      <c r="O124" s="13">
        <f>ROUND(J124-M124-N124,2)</f>
        <v/>
      </c>
    </row>
    <row r="125">
      <c r="A125" s="11" t="n">
        <v>123</v>
      </c>
      <c r="B125" s="12">
        <f>EDATE(Inputs!$C$6,A125-1)</f>
        <v/>
      </c>
      <c r="C125" s="13">
        <f>G124</f>
        <v/>
      </c>
      <c r="D125" s="13">
        <f>IF(C125&lt;=0.005,0,ROUND(C125*Inputs!$C$8,2))</f>
        <v/>
      </c>
      <c r="E125" s="13">
        <f>IF(C125&lt;=0.005,0,MIN(Inputs!$C$7,C125+D125))</f>
        <v/>
      </c>
      <c r="F125" s="13">
        <f>E125-D125</f>
        <v/>
      </c>
      <c r="G125" s="13">
        <f>ROUND(C125-F125,2)</f>
        <v/>
      </c>
      <c r="H125" s="14" t="n">
        <v>0</v>
      </c>
      <c r="I125" s="11">
        <f>IF(H125=0,"",IF(A125&lt;2,"X not before month 2",IF(H125&lt;MAX(5000,Inputs!$C$7),"X below min",IF(H125&gt;MIN(5000000,0.75*J125),"X above max","OK"))))</f>
        <v/>
      </c>
      <c r="J125" s="13">
        <f>O124</f>
        <v/>
      </c>
      <c r="K125" s="13">
        <f>IF(J125&lt;=0.005,0,ROUND(J125*Inputs!$C$8,2))</f>
        <v/>
      </c>
      <c r="L125" s="13">
        <f>IF(J125&lt;=0.005,0,MIN(Inputs!$C$7,J125+K125))</f>
        <v/>
      </c>
      <c r="M125" s="13">
        <f>L125-K125</f>
        <v/>
      </c>
      <c r="N125" s="13">
        <f>IF(J125&lt;=0.005,0,MIN(H125,J125-M125))</f>
        <v/>
      </c>
      <c r="O125" s="13">
        <f>ROUND(J125-M125-N125,2)</f>
        <v/>
      </c>
    </row>
    <row r="126">
      <c r="A126" s="11" t="n">
        <v>124</v>
      </c>
      <c r="B126" s="12">
        <f>EDATE(Inputs!$C$6,A126-1)</f>
        <v/>
      </c>
      <c r="C126" s="13">
        <f>G125</f>
        <v/>
      </c>
      <c r="D126" s="13">
        <f>IF(C126&lt;=0.005,0,ROUND(C126*Inputs!$C$8,2))</f>
        <v/>
      </c>
      <c r="E126" s="13">
        <f>IF(C126&lt;=0.005,0,MIN(Inputs!$C$7,C126+D126))</f>
        <v/>
      </c>
      <c r="F126" s="13">
        <f>E126-D126</f>
        <v/>
      </c>
      <c r="G126" s="13">
        <f>ROUND(C126-F126,2)</f>
        <v/>
      </c>
      <c r="H126" s="14" t="n">
        <v>0</v>
      </c>
      <c r="I126" s="11">
        <f>IF(H126=0,"",IF(A126&lt;2,"X not before month 2",IF(H126&lt;MAX(5000,Inputs!$C$7),"X below min",IF(H126&gt;MIN(5000000,0.75*J126),"X above max","OK"))))</f>
        <v/>
      </c>
      <c r="J126" s="13">
        <f>O125</f>
        <v/>
      </c>
      <c r="K126" s="13">
        <f>IF(J126&lt;=0.005,0,ROUND(J126*Inputs!$C$8,2))</f>
        <v/>
      </c>
      <c r="L126" s="13">
        <f>IF(J126&lt;=0.005,0,MIN(Inputs!$C$7,J126+K126))</f>
        <v/>
      </c>
      <c r="M126" s="13">
        <f>L126-K126</f>
        <v/>
      </c>
      <c r="N126" s="13">
        <f>IF(J126&lt;=0.005,0,MIN(H126,J126-M126))</f>
        <v/>
      </c>
      <c r="O126" s="13">
        <f>ROUND(J126-M126-N126,2)</f>
        <v/>
      </c>
    </row>
    <row r="127">
      <c r="A127" s="11" t="n">
        <v>125</v>
      </c>
      <c r="B127" s="12">
        <f>EDATE(Inputs!$C$6,A127-1)</f>
        <v/>
      </c>
      <c r="C127" s="13">
        <f>G126</f>
        <v/>
      </c>
      <c r="D127" s="13">
        <f>IF(C127&lt;=0.005,0,ROUND(C127*Inputs!$C$8,2))</f>
        <v/>
      </c>
      <c r="E127" s="13">
        <f>IF(C127&lt;=0.005,0,MIN(Inputs!$C$7,C127+D127))</f>
        <v/>
      </c>
      <c r="F127" s="13">
        <f>E127-D127</f>
        <v/>
      </c>
      <c r="G127" s="13">
        <f>ROUND(C127-F127,2)</f>
        <v/>
      </c>
      <c r="H127" s="14" t="n">
        <v>0</v>
      </c>
      <c r="I127" s="11">
        <f>IF(H127=0,"",IF(A127&lt;2,"X not before month 2",IF(H127&lt;MAX(5000,Inputs!$C$7),"X below min",IF(H127&gt;MIN(5000000,0.75*J127),"X above max","OK"))))</f>
        <v/>
      </c>
      <c r="J127" s="13">
        <f>O126</f>
        <v/>
      </c>
      <c r="K127" s="13">
        <f>IF(J127&lt;=0.005,0,ROUND(J127*Inputs!$C$8,2))</f>
        <v/>
      </c>
      <c r="L127" s="13">
        <f>IF(J127&lt;=0.005,0,MIN(Inputs!$C$7,J127+K127))</f>
        <v/>
      </c>
      <c r="M127" s="13">
        <f>L127-K127</f>
        <v/>
      </c>
      <c r="N127" s="13">
        <f>IF(J127&lt;=0.005,0,MIN(H127,J127-M127))</f>
        <v/>
      </c>
      <c r="O127" s="13">
        <f>ROUND(J127-M127-N127,2)</f>
        <v/>
      </c>
    </row>
    <row r="128">
      <c r="A128" s="11" t="n">
        <v>126</v>
      </c>
      <c r="B128" s="12">
        <f>EDATE(Inputs!$C$6,A128-1)</f>
        <v/>
      </c>
      <c r="C128" s="13">
        <f>G127</f>
        <v/>
      </c>
      <c r="D128" s="13">
        <f>IF(C128&lt;=0.005,0,ROUND(C128*Inputs!$C$8,2))</f>
        <v/>
      </c>
      <c r="E128" s="13">
        <f>IF(C128&lt;=0.005,0,MIN(Inputs!$C$7,C128+D128))</f>
        <v/>
      </c>
      <c r="F128" s="13">
        <f>E128-D128</f>
        <v/>
      </c>
      <c r="G128" s="13">
        <f>ROUND(C128-F128,2)</f>
        <v/>
      </c>
      <c r="H128" s="14" t="n">
        <v>0</v>
      </c>
      <c r="I128" s="11">
        <f>IF(H128=0,"",IF(A128&lt;2,"X not before month 2",IF(H128&lt;MAX(5000,Inputs!$C$7),"X below min",IF(H128&gt;MIN(5000000,0.75*J128),"X above max","OK"))))</f>
        <v/>
      </c>
      <c r="J128" s="13">
        <f>O127</f>
        <v/>
      </c>
      <c r="K128" s="13">
        <f>IF(J128&lt;=0.005,0,ROUND(J128*Inputs!$C$8,2))</f>
        <v/>
      </c>
      <c r="L128" s="13">
        <f>IF(J128&lt;=0.005,0,MIN(Inputs!$C$7,J128+K128))</f>
        <v/>
      </c>
      <c r="M128" s="13">
        <f>L128-K128</f>
        <v/>
      </c>
      <c r="N128" s="13">
        <f>IF(J128&lt;=0.005,0,MIN(H128,J128-M128))</f>
        <v/>
      </c>
      <c r="O128" s="13">
        <f>ROUND(J128-M128-N128,2)</f>
        <v/>
      </c>
    </row>
    <row r="129">
      <c r="A129" s="11" t="n">
        <v>127</v>
      </c>
      <c r="B129" s="12">
        <f>EDATE(Inputs!$C$6,A129-1)</f>
        <v/>
      </c>
      <c r="C129" s="13">
        <f>G128</f>
        <v/>
      </c>
      <c r="D129" s="13">
        <f>IF(C129&lt;=0.005,0,ROUND(C129*Inputs!$C$8,2))</f>
        <v/>
      </c>
      <c r="E129" s="13">
        <f>IF(C129&lt;=0.005,0,MIN(Inputs!$C$7,C129+D129))</f>
        <v/>
      </c>
      <c r="F129" s="13">
        <f>E129-D129</f>
        <v/>
      </c>
      <c r="G129" s="13">
        <f>ROUND(C129-F129,2)</f>
        <v/>
      </c>
      <c r="H129" s="14" t="n">
        <v>0</v>
      </c>
      <c r="I129" s="11">
        <f>IF(H129=0,"",IF(A129&lt;2,"X not before month 2",IF(H129&lt;MAX(5000,Inputs!$C$7),"X below min",IF(H129&gt;MIN(5000000,0.75*J129),"X above max","OK"))))</f>
        <v/>
      </c>
      <c r="J129" s="13">
        <f>O128</f>
        <v/>
      </c>
      <c r="K129" s="13">
        <f>IF(J129&lt;=0.005,0,ROUND(J129*Inputs!$C$8,2))</f>
        <v/>
      </c>
      <c r="L129" s="13">
        <f>IF(J129&lt;=0.005,0,MIN(Inputs!$C$7,J129+K129))</f>
        <v/>
      </c>
      <c r="M129" s="13">
        <f>L129-K129</f>
        <v/>
      </c>
      <c r="N129" s="13">
        <f>IF(J129&lt;=0.005,0,MIN(H129,J129-M129))</f>
        <v/>
      </c>
      <c r="O129" s="13">
        <f>ROUND(J129-M129-N129,2)</f>
        <v/>
      </c>
    </row>
    <row r="130">
      <c r="A130" s="11" t="n">
        <v>128</v>
      </c>
      <c r="B130" s="12">
        <f>EDATE(Inputs!$C$6,A130-1)</f>
        <v/>
      </c>
      <c r="C130" s="13">
        <f>G129</f>
        <v/>
      </c>
      <c r="D130" s="13">
        <f>IF(C130&lt;=0.005,0,ROUND(C130*Inputs!$C$8,2))</f>
        <v/>
      </c>
      <c r="E130" s="13">
        <f>IF(C130&lt;=0.005,0,MIN(Inputs!$C$7,C130+D130))</f>
        <v/>
      </c>
      <c r="F130" s="13">
        <f>E130-D130</f>
        <v/>
      </c>
      <c r="G130" s="13">
        <f>ROUND(C130-F130,2)</f>
        <v/>
      </c>
      <c r="H130" s="14" t="n">
        <v>0</v>
      </c>
      <c r="I130" s="11">
        <f>IF(H130=0,"",IF(A130&lt;2,"X not before month 2",IF(H130&lt;MAX(5000,Inputs!$C$7),"X below min",IF(H130&gt;MIN(5000000,0.75*J130),"X above max","OK"))))</f>
        <v/>
      </c>
      <c r="J130" s="13">
        <f>O129</f>
        <v/>
      </c>
      <c r="K130" s="13">
        <f>IF(J130&lt;=0.005,0,ROUND(J130*Inputs!$C$8,2))</f>
        <v/>
      </c>
      <c r="L130" s="13">
        <f>IF(J130&lt;=0.005,0,MIN(Inputs!$C$7,J130+K130))</f>
        <v/>
      </c>
      <c r="M130" s="13">
        <f>L130-K130</f>
        <v/>
      </c>
      <c r="N130" s="13">
        <f>IF(J130&lt;=0.005,0,MIN(H130,J130-M130))</f>
        <v/>
      </c>
      <c r="O130" s="13">
        <f>ROUND(J130-M130-N130,2)</f>
        <v/>
      </c>
    </row>
    <row r="131">
      <c r="A131" s="11" t="n">
        <v>129</v>
      </c>
      <c r="B131" s="12">
        <f>EDATE(Inputs!$C$6,A131-1)</f>
        <v/>
      </c>
      <c r="C131" s="13">
        <f>G130</f>
        <v/>
      </c>
      <c r="D131" s="13">
        <f>IF(C131&lt;=0.005,0,ROUND(C131*Inputs!$C$8,2))</f>
        <v/>
      </c>
      <c r="E131" s="13">
        <f>IF(C131&lt;=0.005,0,MIN(Inputs!$C$7,C131+D131))</f>
        <v/>
      </c>
      <c r="F131" s="13">
        <f>E131-D131</f>
        <v/>
      </c>
      <c r="G131" s="13">
        <f>ROUND(C131-F131,2)</f>
        <v/>
      </c>
      <c r="H131" s="14" t="n">
        <v>0</v>
      </c>
      <c r="I131" s="11">
        <f>IF(H131=0,"",IF(A131&lt;2,"X not before month 2",IF(H131&lt;MAX(5000,Inputs!$C$7),"X below min",IF(H131&gt;MIN(5000000,0.75*J131),"X above max","OK"))))</f>
        <v/>
      </c>
      <c r="J131" s="13">
        <f>O130</f>
        <v/>
      </c>
      <c r="K131" s="13">
        <f>IF(J131&lt;=0.005,0,ROUND(J131*Inputs!$C$8,2))</f>
        <v/>
      </c>
      <c r="L131" s="13">
        <f>IF(J131&lt;=0.005,0,MIN(Inputs!$C$7,J131+K131))</f>
        <v/>
      </c>
      <c r="M131" s="13">
        <f>L131-K131</f>
        <v/>
      </c>
      <c r="N131" s="13">
        <f>IF(J131&lt;=0.005,0,MIN(H131,J131-M131))</f>
        <v/>
      </c>
      <c r="O131" s="13">
        <f>ROUND(J131-M131-N131,2)</f>
        <v/>
      </c>
    </row>
    <row r="132">
      <c r="A132" s="11" t="n">
        <v>130</v>
      </c>
      <c r="B132" s="12">
        <f>EDATE(Inputs!$C$6,A132-1)</f>
        <v/>
      </c>
      <c r="C132" s="13">
        <f>G131</f>
        <v/>
      </c>
      <c r="D132" s="13">
        <f>IF(C132&lt;=0.005,0,ROUND(C132*Inputs!$C$8,2))</f>
        <v/>
      </c>
      <c r="E132" s="13">
        <f>IF(C132&lt;=0.005,0,MIN(Inputs!$C$7,C132+D132))</f>
        <v/>
      </c>
      <c r="F132" s="13">
        <f>E132-D132</f>
        <v/>
      </c>
      <c r="G132" s="13">
        <f>ROUND(C132-F132,2)</f>
        <v/>
      </c>
      <c r="H132" s="14" t="n">
        <v>0</v>
      </c>
      <c r="I132" s="11">
        <f>IF(H132=0,"",IF(A132&lt;2,"X not before month 2",IF(H132&lt;MAX(5000,Inputs!$C$7),"X below min",IF(H132&gt;MIN(5000000,0.75*J132),"X above max","OK"))))</f>
        <v/>
      </c>
      <c r="J132" s="13">
        <f>O131</f>
        <v/>
      </c>
      <c r="K132" s="13">
        <f>IF(J132&lt;=0.005,0,ROUND(J132*Inputs!$C$8,2))</f>
        <v/>
      </c>
      <c r="L132" s="13">
        <f>IF(J132&lt;=0.005,0,MIN(Inputs!$C$7,J132+K132))</f>
        <v/>
      </c>
      <c r="M132" s="13">
        <f>L132-K132</f>
        <v/>
      </c>
      <c r="N132" s="13">
        <f>IF(J132&lt;=0.005,0,MIN(H132,J132-M132))</f>
        <v/>
      </c>
      <c r="O132" s="13">
        <f>ROUND(J132-M132-N132,2)</f>
        <v/>
      </c>
    </row>
    <row r="133">
      <c r="A133" s="11" t="n">
        <v>131</v>
      </c>
      <c r="B133" s="12">
        <f>EDATE(Inputs!$C$6,A133-1)</f>
        <v/>
      </c>
      <c r="C133" s="13">
        <f>G132</f>
        <v/>
      </c>
      <c r="D133" s="13">
        <f>IF(C133&lt;=0.005,0,ROUND(C133*Inputs!$C$8,2))</f>
        <v/>
      </c>
      <c r="E133" s="13">
        <f>IF(C133&lt;=0.005,0,MIN(Inputs!$C$7,C133+D133))</f>
        <v/>
      </c>
      <c r="F133" s="13">
        <f>E133-D133</f>
        <v/>
      </c>
      <c r="G133" s="13">
        <f>ROUND(C133-F133,2)</f>
        <v/>
      </c>
      <c r="H133" s="14" t="n">
        <v>0</v>
      </c>
      <c r="I133" s="11">
        <f>IF(H133=0,"",IF(A133&lt;2,"X not before month 2",IF(H133&lt;MAX(5000,Inputs!$C$7),"X below min",IF(H133&gt;MIN(5000000,0.75*J133),"X above max","OK"))))</f>
        <v/>
      </c>
      <c r="J133" s="13">
        <f>O132</f>
        <v/>
      </c>
      <c r="K133" s="13">
        <f>IF(J133&lt;=0.005,0,ROUND(J133*Inputs!$C$8,2))</f>
        <v/>
      </c>
      <c r="L133" s="13">
        <f>IF(J133&lt;=0.005,0,MIN(Inputs!$C$7,J133+K133))</f>
        <v/>
      </c>
      <c r="M133" s="13">
        <f>L133-K133</f>
        <v/>
      </c>
      <c r="N133" s="13">
        <f>IF(J133&lt;=0.005,0,MIN(H133,J133-M133))</f>
        <v/>
      </c>
      <c r="O133" s="13">
        <f>ROUND(J133-M133-N133,2)</f>
        <v/>
      </c>
    </row>
    <row r="134">
      <c r="A134" s="11" t="n">
        <v>132</v>
      </c>
      <c r="B134" s="12">
        <f>EDATE(Inputs!$C$6,A134-1)</f>
        <v/>
      </c>
      <c r="C134" s="13">
        <f>G133</f>
        <v/>
      </c>
      <c r="D134" s="13">
        <f>IF(C134&lt;=0.005,0,ROUND(C134*Inputs!$C$8,2))</f>
        <v/>
      </c>
      <c r="E134" s="13">
        <f>IF(C134&lt;=0.005,0,MIN(Inputs!$C$7,C134+D134))</f>
        <v/>
      </c>
      <c r="F134" s="13">
        <f>E134-D134</f>
        <v/>
      </c>
      <c r="G134" s="13">
        <f>ROUND(C134-F134,2)</f>
        <v/>
      </c>
      <c r="H134" s="14" t="n">
        <v>0</v>
      </c>
      <c r="I134" s="11">
        <f>IF(H134=0,"",IF(A134&lt;2,"X not before month 2",IF(H134&lt;MAX(5000,Inputs!$C$7),"X below min",IF(H134&gt;MIN(5000000,0.75*J134),"X above max","OK"))))</f>
        <v/>
      </c>
      <c r="J134" s="13">
        <f>O133</f>
        <v/>
      </c>
      <c r="K134" s="13">
        <f>IF(J134&lt;=0.005,0,ROUND(J134*Inputs!$C$8,2))</f>
        <v/>
      </c>
      <c r="L134" s="13">
        <f>IF(J134&lt;=0.005,0,MIN(Inputs!$C$7,J134+K134))</f>
        <v/>
      </c>
      <c r="M134" s="13">
        <f>L134-K134</f>
        <v/>
      </c>
      <c r="N134" s="13">
        <f>IF(J134&lt;=0.005,0,MIN(H134,J134-M134))</f>
        <v/>
      </c>
      <c r="O134" s="13">
        <f>ROUND(J134-M134-N134,2)</f>
        <v/>
      </c>
    </row>
    <row r="135">
      <c r="A135" s="11" t="n">
        <v>133</v>
      </c>
      <c r="B135" s="12">
        <f>EDATE(Inputs!$C$6,A135-1)</f>
        <v/>
      </c>
      <c r="C135" s="13">
        <f>G134</f>
        <v/>
      </c>
      <c r="D135" s="13">
        <f>IF(C135&lt;=0.005,0,ROUND(C135*Inputs!$C$8,2))</f>
        <v/>
      </c>
      <c r="E135" s="13">
        <f>IF(C135&lt;=0.005,0,MIN(Inputs!$C$7,C135+D135))</f>
        <v/>
      </c>
      <c r="F135" s="13">
        <f>E135-D135</f>
        <v/>
      </c>
      <c r="G135" s="13">
        <f>ROUND(C135-F135,2)</f>
        <v/>
      </c>
      <c r="H135" s="14" t="n">
        <v>0</v>
      </c>
      <c r="I135" s="11">
        <f>IF(H135=0,"",IF(A135&lt;2,"X not before month 2",IF(H135&lt;MAX(5000,Inputs!$C$7),"X below min",IF(H135&gt;MIN(5000000,0.75*J135),"X above max","OK"))))</f>
        <v/>
      </c>
      <c r="J135" s="13">
        <f>O134</f>
        <v/>
      </c>
      <c r="K135" s="13">
        <f>IF(J135&lt;=0.005,0,ROUND(J135*Inputs!$C$8,2))</f>
        <v/>
      </c>
      <c r="L135" s="13">
        <f>IF(J135&lt;=0.005,0,MIN(Inputs!$C$7,J135+K135))</f>
        <v/>
      </c>
      <c r="M135" s="13">
        <f>L135-K135</f>
        <v/>
      </c>
      <c r="N135" s="13">
        <f>IF(J135&lt;=0.005,0,MIN(H135,J135-M135))</f>
        <v/>
      </c>
      <c r="O135" s="13">
        <f>ROUND(J135-M135-N135,2)</f>
        <v/>
      </c>
    </row>
    <row r="136">
      <c r="A136" s="11" t="n">
        <v>134</v>
      </c>
      <c r="B136" s="12">
        <f>EDATE(Inputs!$C$6,A136-1)</f>
        <v/>
      </c>
      <c r="C136" s="13">
        <f>G135</f>
        <v/>
      </c>
      <c r="D136" s="13">
        <f>IF(C136&lt;=0.005,0,ROUND(C136*Inputs!$C$8,2))</f>
        <v/>
      </c>
      <c r="E136" s="13">
        <f>IF(C136&lt;=0.005,0,MIN(Inputs!$C$7,C136+D136))</f>
        <v/>
      </c>
      <c r="F136" s="13">
        <f>E136-D136</f>
        <v/>
      </c>
      <c r="G136" s="13">
        <f>ROUND(C136-F136,2)</f>
        <v/>
      </c>
      <c r="H136" s="14" t="n">
        <v>0</v>
      </c>
      <c r="I136" s="11">
        <f>IF(H136=0,"",IF(A136&lt;2,"X not before month 2",IF(H136&lt;MAX(5000,Inputs!$C$7),"X below min",IF(H136&gt;MIN(5000000,0.75*J136),"X above max","OK"))))</f>
        <v/>
      </c>
      <c r="J136" s="13">
        <f>O135</f>
        <v/>
      </c>
      <c r="K136" s="13">
        <f>IF(J136&lt;=0.005,0,ROUND(J136*Inputs!$C$8,2))</f>
        <v/>
      </c>
      <c r="L136" s="13">
        <f>IF(J136&lt;=0.005,0,MIN(Inputs!$C$7,J136+K136))</f>
        <v/>
      </c>
      <c r="M136" s="13">
        <f>L136-K136</f>
        <v/>
      </c>
      <c r="N136" s="13">
        <f>IF(J136&lt;=0.005,0,MIN(H136,J136-M136))</f>
        <v/>
      </c>
      <c r="O136" s="13">
        <f>ROUND(J136-M136-N136,2)</f>
        <v/>
      </c>
    </row>
    <row r="137">
      <c r="A137" s="11" t="n">
        <v>135</v>
      </c>
      <c r="B137" s="12">
        <f>EDATE(Inputs!$C$6,A137-1)</f>
        <v/>
      </c>
      <c r="C137" s="13">
        <f>G136</f>
        <v/>
      </c>
      <c r="D137" s="13">
        <f>IF(C137&lt;=0.005,0,ROUND(C137*Inputs!$C$8,2))</f>
        <v/>
      </c>
      <c r="E137" s="13">
        <f>IF(C137&lt;=0.005,0,MIN(Inputs!$C$7,C137+D137))</f>
        <v/>
      </c>
      <c r="F137" s="13">
        <f>E137-D137</f>
        <v/>
      </c>
      <c r="G137" s="13">
        <f>ROUND(C137-F137,2)</f>
        <v/>
      </c>
      <c r="H137" s="14" t="n">
        <v>0</v>
      </c>
      <c r="I137" s="11">
        <f>IF(H137=0,"",IF(A137&lt;2,"X not before month 2",IF(H137&lt;MAX(5000,Inputs!$C$7),"X below min",IF(H137&gt;MIN(5000000,0.75*J137),"X above max","OK"))))</f>
        <v/>
      </c>
      <c r="J137" s="13">
        <f>O136</f>
        <v/>
      </c>
      <c r="K137" s="13">
        <f>IF(J137&lt;=0.005,0,ROUND(J137*Inputs!$C$8,2))</f>
        <v/>
      </c>
      <c r="L137" s="13">
        <f>IF(J137&lt;=0.005,0,MIN(Inputs!$C$7,J137+K137))</f>
        <v/>
      </c>
      <c r="M137" s="13">
        <f>L137-K137</f>
        <v/>
      </c>
      <c r="N137" s="13">
        <f>IF(J137&lt;=0.005,0,MIN(H137,J137-M137))</f>
        <v/>
      </c>
      <c r="O137" s="13">
        <f>ROUND(J137-M137-N137,2)</f>
        <v/>
      </c>
    </row>
    <row r="138">
      <c r="A138" s="11" t="n">
        <v>136</v>
      </c>
      <c r="B138" s="12">
        <f>EDATE(Inputs!$C$6,A138-1)</f>
        <v/>
      </c>
      <c r="C138" s="13">
        <f>G137</f>
        <v/>
      </c>
      <c r="D138" s="13">
        <f>IF(C138&lt;=0.005,0,ROUND(C138*Inputs!$C$8,2))</f>
        <v/>
      </c>
      <c r="E138" s="13">
        <f>IF(C138&lt;=0.005,0,MIN(Inputs!$C$7,C138+D138))</f>
        <v/>
      </c>
      <c r="F138" s="13">
        <f>E138-D138</f>
        <v/>
      </c>
      <c r="G138" s="13">
        <f>ROUND(C138-F138,2)</f>
        <v/>
      </c>
      <c r="H138" s="14" t="n">
        <v>0</v>
      </c>
      <c r="I138" s="11">
        <f>IF(H138=0,"",IF(A138&lt;2,"X not before month 2",IF(H138&lt;MAX(5000,Inputs!$C$7),"X below min",IF(H138&gt;MIN(5000000,0.75*J138),"X above max","OK"))))</f>
        <v/>
      </c>
      <c r="J138" s="13">
        <f>O137</f>
        <v/>
      </c>
      <c r="K138" s="13">
        <f>IF(J138&lt;=0.005,0,ROUND(J138*Inputs!$C$8,2))</f>
        <v/>
      </c>
      <c r="L138" s="13">
        <f>IF(J138&lt;=0.005,0,MIN(Inputs!$C$7,J138+K138))</f>
        <v/>
      </c>
      <c r="M138" s="13">
        <f>L138-K138</f>
        <v/>
      </c>
      <c r="N138" s="13">
        <f>IF(J138&lt;=0.005,0,MIN(H138,J138-M138))</f>
        <v/>
      </c>
      <c r="O138" s="13">
        <f>ROUND(J138-M138-N138,2)</f>
        <v/>
      </c>
    </row>
    <row r="139">
      <c r="A139" s="11" t="n">
        <v>137</v>
      </c>
      <c r="B139" s="12">
        <f>EDATE(Inputs!$C$6,A139-1)</f>
        <v/>
      </c>
      <c r="C139" s="13">
        <f>G138</f>
        <v/>
      </c>
      <c r="D139" s="13">
        <f>IF(C139&lt;=0.005,0,ROUND(C139*Inputs!$C$8,2))</f>
        <v/>
      </c>
      <c r="E139" s="13">
        <f>IF(C139&lt;=0.005,0,MIN(Inputs!$C$7,C139+D139))</f>
        <v/>
      </c>
      <c r="F139" s="13">
        <f>E139-D139</f>
        <v/>
      </c>
      <c r="G139" s="13">
        <f>ROUND(C139-F139,2)</f>
        <v/>
      </c>
      <c r="H139" s="14" t="n">
        <v>0</v>
      </c>
      <c r="I139" s="11">
        <f>IF(H139=0,"",IF(A139&lt;2,"X not before month 2",IF(H139&lt;MAX(5000,Inputs!$C$7),"X below min",IF(H139&gt;MIN(5000000,0.75*J139),"X above max","OK"))))</f>
        <v/>
      </c>
      <c r="J139" s="13">
        <f>O138</f>
        <v/>
      </c>
      <c r="K139" s="13">
        <f>IF(J139&lt;=0.005,0,ROUND(J139*Inputs!$C$8,2))</f>
        <v/>
      </c>
      <c r="L139" s="13">
        <f>IF(J139&lt;=0.005,0,MIN(Inputs!$C$7,J139+K139))</f>
        <v/>
      </c>
      <c r="M139" s="13">
        <f>L139-K139</f>
        <v/>
      </c>
      <c r="N139" s="13">
        <f>IF(J139&lt;=0.005,0,MIN(H139,J139-M139))</f>
        <v/>
      </c>
      <c r="O139" s="13">
        <f>ROUND(J139-M139-N139,2)</f>
        <v/>
      </c>
    </row>
    <row r="140">
      <c r="A140" s="11" t="n">
        <v>138</v>
      </c>
      <c r="B140" s="12">
        <f>EDATE(Inputs!$C$6,A140-1)</f>
        <v/>
      </c>
      <c r="C140" s="13">
        <f>G139</f>
        <v/>
      </c>
      <c r="D140" s="13">
        <f>IF(C140&lt;=0.005,0,ROUND(C140*Inputs!$C$8,2))</f>
        <v/>
      </c>
      <c r="E140" s="13">
        <f>IF(C140&lt;=0.005,0,MIN(Inputs!$C$7,C140+D140))</f>
        <v/>
      </c>
      <c r="F140" s="13">
        <f>E140-D140</f>
        <v/>
      </c>
      <c r="G140" s="13">
        <f>ROUND(C140-F140,2)</f>
        <v/>
      </c>
      <c r="H140" s="14" t="n">
        <v>0</v>
      </c>
      <c r="I140" s="11">
        <f>IF(H140=0,"",IF(A140&lt;2,"X not before month 2",IF(H140&lt;MAX(5000,Inputs!$C$7),"X below min",IF(H140&gt;MIN(5000000,0.75*J140),"X above max","OK"))))</f>
        <v/>
      </c>
      <c r="J140" s="13">
        <f>O139</f>
        <v/>
      </c>
      <c r="K140" s="13">
        <f>IF(J140&lt;=0.005,0,ROUND(J140*Inputs!$C$8,2))</f>
        <v/>
      </c>
      <c r="L140" s="13">
        <f>IF(J140&lt;=0.005,0,MIN(Inputs!$C$7,J140+K140))</f>
        <v/>
      </c>
      <c r="M140" s="13">
        <f>L140-K140</f>
        <v/>
      </c>
      <c r="N140" s="13">
        <f>IF(J140&lt;=0.005,0,MIN(H140,J140-M140))</f>
        <v/>
      </c>
      <c r="O140" s="13">
        <f>ROUND(J140-M140-N140,2)</f>
        <v/>
      </c>
    </row>
    <row r="141">
      <c r="A141" s="11" t="n">
        <v>139</v>
      </c>
      <c r="B141" s="12">
        <f>EDATE(Inputs!$C$6,A141-1)</f>
        <v/>
      </c>
      <c r="C141" s="13">
        <f>G140</f>
        <v/>
      </c>
      <c r="D141" s="13">
        <f>IF(C141&lt;=0.005,0,ROUND(C141*Inputs!$C$8,2))</f>
        <v/>
      </c>
      <c r="E141" s="13">
        <f>IF(C141&lt;=0.005,0,MIN(Inputs!$C$7,C141+D141))</f>
        <v/>
      </c>
      <c r="F141" s="13">
        <f>E141-D141</f>
        <v/>
      </c>
      <c r="G141" s="13">
        <f>ROUND(C141-F141,2)</f>
        <v/>
      </c>
      <c r="H141" s="14" t="n">
        <v>0</v>
      </c>
      <c r="I141" s="11">
        <f>IF(H141=0,"",IF(A141&lt;2,"X not before month 2",IF(H141&lt;MAX(5000,Inputs!$C$7),"X below min",IF(H141&gt;MIN(5000000,0.75*J141),"X above max","OK"))))</f>
        <v/>
      </c>
      <c r="J141" s="13">
        <f>O140</f>
        <v/>
      </c>
      <c r="K141" s="13">
        <f>IF(J141&lt;=0.005,0,ROUND(J141*Inputs!$C$8,2))</f>
        <v/>
      </c>
      <c r="L141" s="13">
        <f>IF(J141&lt;=0.005,0,MIN(Inputs!$C$7,J141+K141))</f>
        <v/>
      </c>
      <c r="M141" s="13">
        <f>L141-K141</f>
        <v/>
      </c>
      <c r="N141" s="13">
        <f>IF(J141&lt;=0.005,0,MIN(H141,J141-M141))</f>
        <v/>
      </c>
      <c r="O141" s="13">
        <f>ROUND(J141-M141-N141,2)</f>
        <v/>
      </c>
    </row>
    <row r="142">
      <c r="A142" s="11" t="n">
        <v>140</v>
      </c>
      <c r="B142" s="12">
        <f>EDATE(Inputs!$C$6,A142-1)</f>
        <v/>
      </c>
      <c r="C142" s="13">
        <f>G141</f>
        <v/>
      </c>
      <c r="D142" s="13">
        <f>IF(C142&lt;=0.005,0,ROUND(C142*Inputs!$C$8,2))</f>
        <v/>
      </c>
      <c r="E142" s="13">
        <f>IF(C142&lt;=0.005,0,MIN(Inputs!$C$7,C142+D142))</f>
        <v/>
      </c>
      <c r="F142" s="13">
        <f>E142-D142</f>
        <v/>
      </c>
      <c r="G142" s="13">
        <f>ROUND(C142-F142,2)</f>
        <v/>
      </c>
      <c r="H142" s="14" t="n">
        <v>0</v>
      </c>
      <c r="I142" s="11">
        <f>IF(H142=0,"",IF(A142&lt;2,"X not before month 2",IF(H142&lt;MAX(5000,Inputs!$C$7),"X below min",IF(H142&gt;MIN(5000000,0.75*J142),"X above max","OK"))))</f>
        <v/>
      </c>
      <c r="J142" s="13">
        <f>O141</f>
        <v/>
      </c>
      <c r="K142" s="13">
        <f>IF(J142&lt;=0.005,0,ROUND(J142*Inputs!$C$8,2))</f>
        <v/>
      </c>
      <c r="L142" s="13">
        <f>IF(J142&lt;=0.005,0,MIN(Inputs!$C$7,J142+K142))</f>
        <v/>
      </c>
      <c r="M142" s="13">
        <f>L142-K142</f>
        <v/>
      </c>
      <c r="N142" s="13">
        <f>IF(J142&lt;=0.005,0,MIN(H142,J142-M142))</f>
        <v/>
      </c>
      <c r="O142" s="13">
        <f>ROUND(J142-M142-N142,2)</f>
        <v/>
      </c>
    </row>
    <row r="143">
      <c r="A143" s="11" t="n">
        <v>141</v>
      </c>
      <c r="B143" s="12">
        <f>EDATE(Inputs!$C$6,A143-1)</f>
        <v/>
      </c>
      <c r="C143" s="13">
        <f>G142</f>
        <v/>
      </c>
      <c r="D143" s="13">
        <f>IF(C143&lt;=0.005,0,ROUND(C143*Inputs!$C$8,2))</f>
        <v/>
      </c>
      <c r="E143" s="13">
        <f>IF(C143&lt;=0.005,0,MIN(Inputs!$C$7,C143+D143))</f>
        <v/>
      </c>
      <c r="F143" s="13">
        <f>E143-D143</f>
        <v/>
      </c>
      <c r="G143" s="13">
        <f>ROUND(C143-F143,2)</f>
        <v/>
      </c>
      <c r="H143" s="14" t="n">
        <v>0</v>
      </c>
      <c r="I143" s="11">
        <f>IF(H143=0,"",IF(A143&lt;2,"X not before month 2",IF(H143&lt;MAX(5000,Inputs!$C$7),"X below min",IF(H143&gt;MIN(5000000,0.75*J143),"X above max","OK"))))</f>
        <v/>
      </c>
      <c r="J143" s="13">
        <f>O142</f>
        <v/>
      </c>
      <c r="K143" s="13">
        <f>IF(J143&lt;=0.005,0,ROUND(J143*Inputs!$C$8,2))</f>
        <v/>
      </c>
      <c r="L143" s="13">
        <f>IF(J143&lt;=0.005,0,MIN(Inputs!$C$7,J143+K143))</f>
        <v/>
      </c>
      <c r="M143" s="13">
        <f>L143-K143</f>
        <v/>
      </c>
      <c r="N143" s="13">
        <f>IF(J143&lt;=0.005,0,MIN(H143,J143-M143))</f>
        <v/>
      </c>
      <c r="O143" s="13">
        <f>ROUND(J143-M143-N143,2)</f>
        <v/>
      </c>
    </row>
    <row r="144">
      <c r="A144" s="11" t="n">
        <v>142</v>
      </c>
      <c r="B144" s="12">
        <f>EDATE(Inputs!$C$6,A144-1)</f>
        <v/>
      </c>
      <c r="C144" s="13">
        <f>G143</f>
        <v/>
      </c>
      <c r="D144" s="13">
        <f>IF(C144&lt;=0.005,0,ROUND(C144*Inputs!$C$8,2))</f>
        <v/>
      </c>
      <c r="E144" s="13">
        <f>IF(C144&lt;=0.005,0,MIN(Inputs!$C$7,C144+D144))</f>
        <v/>
      </c>
      <c r="F144" s="13">
        <f>E144-D144</f>
        <v/>
      </c>
      <c r="G144" s="13">
        <f>ROUND(C144-F144,2)</f>
        <v/>
      </c>
      <c r="H144" s="14" t="n">
        <v>0</v>
      </c>
      <c r="I144" s="11">
        <f>IF(H144=0,"",IF(A144&lt;2,"X not before month 2",IF(H144&lt;MAX(5000,Inputs!$C$7),"X below min",IF(H144&gt;MIN(5000000,0.75*J144),"X above max","OK"))))</f>
        <v/>
      </c>
      <c r="J144" s="13">
        <f>O143</f>
        <v/>
      </c>
      <c r="K144" s="13">
        <f>IF(J144&lt;=0.005,0,ROUND(J144*Inputs!$C$8,2))</f>
        <v/>
      </c>
      <c r="L144" s="13">
        <f>IF(J144&lt;=0.005,0,MIN(Inputs!$C$7,J144+K144))</f>
        <v/>
      </c>
      <c r="M144" s="13">
        <f>L144-K144</f>
        <v/>
      </c>
      <c r="N144" s="13">
        <f>IF(J144&lt;=0.005,0,MIN(H144,J144-M144))</f>
        <v/>
      </c>
      <c r="O144" s="13">
        <f>ROUND(J144-M144-N144,2)</f>
        <v/>
      </c>
    </row>
    <row r="145">
      <c r="A145" s="11" t="n">
        <v>143</v>
      </c>
      <c r="B145" s="12">
        <f>EDATE(Inputs!$C$6,A145-1)</f>
        <v/>
      </c>
      <c r="C145" s="13">
        <f>G144</f>
        <v/>
      </c>
      <c r="D145" s="13">
        <f>IF(C145&lt;=0.005,0,ROUND(C145*Inputs!$C$8,2))</f>
        <v/>
      </c>
      <c r="E145" s="13">
        <f>IF(C145&lt;=0.005,0,MIN(Inputs!$C$7,C145+D145))</f>
        <v/>
      </c>
      <c r="F145" s="13">
        <f>E145-D145</f>
        <v/>
      </c>
      <c r="G145" s="13">
        <f>ROUND(C145-F145,2)</f>
        <v/>
      </c>
      <c r="H145" s="14" t="n">
        <v>0</v>
      </c>
      <c r="I145" s="11">
        <f>IF(H145=0,"",IF(A145&lt;2,"X not before month 2",IF(H145&lt;MAX(5000,Inputs!$C$7),"X below min",IF(H145&gt;MIN(5000000,0.75*J145),"X above max","OK"))))</f>
        <v/>
      </c>
      <c r="J145" s="13">
        <f>O144</f>
        <v/>
      </c>
      <c r="K145" s="13">
        <f>IF(J145&lt;=0.005,0,ROUND(J145*Inputs!$C$8,2))</f>
        <v/>
      </c>
      <c r="L145" s="13">
        <f>IF(J145&lt;=0.005,0,MIN(Inputs!$C$7,J145+K145))</f>
        <v/>
      </c>
      <c r="M145" s="13">
        <f>L145-K145</f>
        <v/>
      </c>
      <c r="N145" s="13">
        <f>IF(J145&lt;=0.005,0,MIN(H145,J145-M145))</f>
        <v/>
      </c>
      <c r="O145" s="13">
        <f>ROUND(J145-M145-N145,2)</f>
        <v/>
      </c>
    </row>
    <row r="146">
      <c r="A146" s="11" t="n">
        <v>144</v>
      </c>
      <c r="B146" s="12">
        <f>EDATE(Inputs!$C$6,A146-1)</f>
        <v/>
      </c>
      <c r="C146" s="13">
        <f>G145</f>
        <v/>
      </c>
      <c r="D146" s="13">
        <f>IF(C146&lt;=0.005,0,ROUND(C146*Inputs!$C$8,2))</f>
        <v/>
      </c>
      <c r="E146" s="13">
        <f>IF(C146&lt;=0.005,0,MIN(Inputs!$C$7,C146+D146))</f>
        <v/>
      </c>
      <c r="F146" s="13">
        <f>E146-D146</f>
        <v/>
      </c>
      <c r="G146" s="13">
        <f>ROUND(C146-F146,2)</f>
        <v/>
      </c>
      <c r="H146" s="14" t="n">
        <v>0</v>
      </c>
      <c r="I146" s="11">
        <f>IF(H146=0,"",IF(A146&lt;2,"X not before month 2",IF(H146&lt;MAX(5000,Inputs!$C$7),"X below min",IF(H146&gt;MIN(5000000,0.75*J146),"X above max","OK"))))</f>
        <v/>
      </c>
      <c r="J146" s="13">
        <f>O145</f>
        <v/>
      </c>
      <c r="K146" s="13">
        <f>IF(J146&lt;=0.005,0,ROUND(J146*Inputs!$C$8,2))</f>
        <v/>
      </c>
      <c r="L146" s="13">
        <f>IF(J146&lt;=0.005,0,MIN(Inputs!$C$7,J146+K146))</f>
        <v/>
      </c>
      <c r="M146" s="13">
        <f>L146-K146</f>
        <v/>
      </c>
      <c r="N146" s="13">
        <f>IF(J146&lt;=0.005,0,MIN(H146,J146-M146))</f>
        <v/>
      </c>
      <c r="O146" s="13">
        <f>ROUND(J146-M146-N146,2)</f>
        <v/>
      </c>
    </row>
    <row r="147">
      <c r="A147" s="11" t="n">
        <v>145</v>
      </c>
      <c r="B147" s="12">
        <f>EDATE(Inputs!$C$6,A147-1)</f>
        <v/>
      </c>
      <c r="C147" s="13">
        <f>G146</f>
        <v/>
      </c>
      <c r="D147" s="13">
        <f>IF(C147&lt;=0.005,0,ROUND(C147*Inputs!$C$8,2))</f>
        <v/>
      </c>
      <c r="E147" s="13">
        <f>IF(C147&lt;=0.005,0,MIN(Inputs!$C$7,C147+D147))</f>
        <v/>
      </c>
      <c r="F147" s="13">
        <f>E147-D147</f>
        <v/>
      </c>
      <c r="G147" s="13">
        <f>ROUND(C147-F147,2)</f>
        <v/>
      </c>
      <c r="H147" s="14" t="n">
        <v>0</v>
      </c>
      <c r="I147" s="11">
        <f>IF(H147=0,"",IF(A147&lt;2,"X not before month 2",IF(H147&lt;MAX(5000,Inputs!$C$7),"X below min",IF(H147&gt;MIN(5000000,0.75*J147),"X above max","OK"))))</f>
        <v/>
      </c>
      <c r="J147" s="13">
        <f>O146</f>
        <v/>
      </c>
      <c r="K147" s="13">
        <f>IF(J147&lt;=0.005,0,ROUND(J147*Inputs!$C$8,2))</f>
        <v/>
      </c>
      <c r="L147" s="13">
        <f>IF(J147&lt;=0.005,0,MIN(Inputs!$C$7,J147+K147))</f>
        <v/>
      </c>
      <c r="M147" s="13">
        <f>L147-K147</f>
        <v/>
      </c>
      <c r="N147" s="13">
        <f>IF(J147&lt;=0.005,0,MIN(H147,J147-M147))</f>
        <v/>
      </c>
      <c r="O147" s="13">
        <f>ROUND(J147-M147-N147,2)</f>
        <v/>
      </c>
    </row>
    <row r="148">
      <c r="A148" s="11" t="n">
        <v>146</v>
      </c>
      <c r="B148" s="12">
        <f>EDATE(Inputs!$C$6,A148-1)</f>
        <v/>
      </c>
      <c r="C148" s="13">
        <f>G147</f>
        <v/>
      </c>
      <c r="D148" s="13">
        <f>IF(C148&lt;=0.005,0,ROUND(C148*Inputs!$C$8,2))</f>
        <v/>
      </c>
      <c r="E148" s="13">
        <f>IF(C148&lt;=0.005,0,MIN(Inputs!$C$7,C148+D148))</f>
        <v/>
      </c>
      <c r="F148" s="13">
        <f>E148-D148</f>
        <v/>
      </c>
      <c r="G148" s="13">
        <f>ROUND(C148-F148,2)</f>
        <v/>
      </c>
      <c r="H148" s="14" t="n">
        <v>0</v>
      </c>
      <c r="I148" s="11">
        <f>IF(H148=0,"",IF(A148&lt;2,"X not before month 2",IF(H148&lt;MAX(5000,Inputs!$C$7),"X below min",IF(H148&gt;MIN(5000000,0.75*J148),"X above max","OK"))))</f>
        <v/>
      </c>
      <c r="J148" s="13">
        <f>O147</f>
        <v/>
      </c>
      <c r="K148" s="13">
        <f>IF(J148&lt;=0.005,0,ROUND(J148*Inputs!$C$8,2))</f>
        <v/>
      </c>
      <c r="L148" s="13">
        <f>IF(J148&lt;=0.005,0,MIN(Inputs!$C$7,J148+K148))</f>
        <v/>
      </c>
      <c r="M148" s="13">
        <f>L148-K148</f>
        <v/>
      </c>
      <c r="N148" s="13">
        <f>IF(J148&lt;=0.005,0,MIN(H148,J148-M148))</f>
        <v/>
      </c>
      <c r="O148" s="13">
        <f>ROUND(J148-M148-N148,2)</f>
        <v/>
      </c>
    </row>
    <row r="149">
      <c r="A149" s="11" t="n">
        <v>147</v>
      </c>
      <c r="B149" s="12">
        <f>EDATE(Inputs!$C$6,A149-1)</f>
        <v/>
      </c>
      <c r="C149" s="13">
        <f>G148</f>
        <v/>
      </c>
      <c r="D149" s="13">
        <f>IF(C149&lt;=0.005,0,ROUND(C149*Inputs!$C$8,2))</f>
        <v/>
      </c>
      <c r="E149" s="13">
        <f>IF(C149&lt;=0.005,0,MIN(Inputs!$C$7,C149+D149))</f>
        <v/>
      </c>
      <c r="F149" s="13">
        <f>E149-D149</f>
        <v/>
      </c>
      <c r="G149" s="13">
        <f>ROUND(C149-F149,2)</f>
        <v/>
      </c>
      <c r="H149" s="14" t="n">
        <v>0</v>
      </c>
      <c r="I149" s="11">
        <f>IF(H149=0,"",IF(A149&lt;2,"X not before month 2",IF(H149&lt;MAX(5000,Inputs!$C$7),"X below min",IF(H149&gt;MIN(5000000,0.75*J149),"X above max","OK"))))</f>
        <v/>
      </c>
      <c r="J149" s="13">
        <f>O148</f>
        <v/>
      </c>
      <c r="K149" s="13">
        <f>IF(J149&lt;=0.005,0,ROUND(J149*Inputs!$C$8,2))</f>
        <v/>
      </c>
      <c r="L149" s="13">
        <f>IF(J149&lt;=0.005,0,MIN(Inputs!$C$7,J149+K149))</f>
        <v/>
      </c>
      <c r="M149" s="13">
        <f>L149-K149</f>
        <v/>
      </c>
      <c r="N149" s="13">
        <f>IF(J149&lt;=0.005,0,MIN(H149,J149-M149))</f>
        <v/>
      </c>
      <c r="O149" s="13">
        <f>ROUND(J149-M149-N149,2)</f>
        <v/>
      </c>
    </row>
    <row r="150">
      <c r="A150" s="11" t="n">
        <v>148</v>
      </c>
      <c r="B150" s="12">
        <f>EDATE(Inputs!$C$6,A150-1)</f>
        <v/>
      </c>
      <c r="C150" s="13">
        <f>G149</f>
        <v/>
      </c>
      <c r="D150" s="13">
        <f>IF(C150&lt;=0.005,0,ROUND(C150*Inputs!$C$8,2))</f>
        <v/>
      </c>
      <c r="E150" s="13">
        <f>IF(C150&lt;=0.005,0,MIN(Inputs!$C$7,C150+D150))</f>
        <v/>
      </c>
      <c r="F150" s="13">
        <f>E150-D150</f>
        <v/>
      </c>
      <c r="G150" s="13">
        <f>ROUND(C150-F150,2)</f>
        <v/>
      </c>
      <c r="H150" s="14" t="n">
        <v>0</v>
      </c>
      <c r="I150" s="11">
        <f>IF(H150=0,"",IF(A150&lt;2,"X not before month 2",IF(H150&lt;MAX(5000,Inputs!$C$7),"X below min",IF(H150&gt;MIN(5000000,0.75*J150),"X above max","OK"))))</f>
        <v/>
      </c>
      <c r="J150" s="13">
        <f>O149</f>
        <v/>
      </c>
      <c r="K150" s="13">
        <f>IF(J150&lt;=0.005,0,ROUND(J150*Inputs!$C$8,2))</f>
        <v/>
      </c>
      <c r="L150" s="13">
        <f>IF(J150&lt;=0.005,0,MIN(Inputs!$C$7,J150+K150))</f>
        <v/>
      </c>
      <c r="M150" s="13">
        <f>L150-K150</f>
        <v/>
      </c>
      <c r="N150" s="13">
        <f>IF(J150&lt;=0.005,0,MIN(H150,J150-M150))</f>
        <v/>
      </c>
      <c r="O150" s="13">
        <f>ROUND(J150-M150-N150,2)</f>
        <v/>
      </c>
    </row>
    <row r="151">
      <c r="A151" s="11" t="n">
        <v>149</v>
      </c>
      <c r="B151" s="12">
        <f>EDATE(Inputs!$C$6,A151-1)</f>
        <v/>
      </c>
      <c r="C151" s="13">
        <f>G150</f>
        <v/>
      </c>
      <c r="D151" s="13">
        <f>IF(C151&lt;=0.005,0,ROUND(C151*Inputs!$C$8,2))</f>
        <v/>
      </c>
      <c r="E151" s="13">
        <f>IF(C151&lt;=0.005,0,MIN(Inputs!$C$7,C151+D151))</f>
        <v/>
      </c>
      <c r="F151" s="13">
        <f>E151-D151</f>
        <v/>
      </c>
      <c r="G151" s="13">
        <f>ROUND(C151-F151,2)</f>
        <v/>
      </c>
      <c r="H151" s="14" t="n">
        <v>0</v>
      </c>
      <c r="I151" s="11">
        <f>IF(H151=0,"",IF(A151&lt;2,"X not before month 2",IF(H151&lt;MAX(5000,Inputs!$C$7),"X below min",IF(H151&gt;MIN(5000000,0.75*J151),"X above max","OK"))))</f>
        <v/>
      </c>
      <c r="J151" s="13">
        <f>O150</f>
        <v/>
      </c>
      <c r="K151" s="13">
        <f>IF(J151&lt;=0.005,0,ROUND(J151*Inputs!$C$8,2))</f>
        <v/>
      </c>
      <c r="L151" s="13">
        <f>IF(J151&lt;=0.005,0,MIN(Inputs!$C$7,J151+K151))</f>
        <v/>
      </c>
      <c r="M151" s="13">
        <f>L151-K151</f>
        <v/>
      </c>
      <c r="N151" s="13">
        <f>IF(J151&lt;=0.005,0,MIN(H151,J151-M151))</f>
        <v/>
      </c>
      <c r="O151" s="13">
        <f>ROUND(J151-M151-N151,2)</f>
        <v/>
      </c>
    </row>
    <row r="152">
      <c r="A152" s="11" t="n">
        <v>150</v>
      </c>
      <c r="B152" s="12">
        <f>EDATE(Inputs!$C$6,A152-1)</f>
        <v/>
      </c>
      <c r="C152" s="13">
        <f>G151</f>
        <v/>
      </c>
      <c r="D152" s="13">
        <f>IF(C152&lt;=0.005,0,ROUND(C152*Inputs!$C$8,2))</f>
        <v/>
      </c>
      <c r="E152" s="13">
        <f>IF(C152&lt;=0.005,0,MIN(Inputs!$C$7,C152+D152))</f>
        <v/>
      </c>
      <c r="F152" s="13">
        <f>E152-D152</f>
        <v/>
      </c>
      <c r="G152" s="13">
        <f>ROUND(C152-F152,2)</f>
        <v/>
      </c>
      <c r="H152" s="14" t="n">
        <v>0</v>
      </c>
      <c r="I152" s="11">
        <f>IF(H152=0,"",IF(A152&lt;2,"X not before month 2",IF(H152&lt;MAX(5000,Inputs!$C$7),"X below min",IF(H152&gt;MIN(5000000,0.75*J152),"X above max","OK"))))</f>
        <v/>
      </c>
      <c r="J152" s="13">
        <f>O151</f>
        <v/>
      </c>
      <c r="K152" s="13">
        <f>IF(J152&lt;=0.005,0,ROUND(J152*Inputs!$C$8,2))</f>
        <v/>
      </c>
      <c r="L152" s="13">
        <f>IF(J152&lt;=0.005,0,MIN(Inputs!$C$7,J152+K152))</f>
        <v/>
      </c>
      <c r="M152" s="13">
        <f>L152-K152</f>
        <v/>
      </c>
      <c r="N152" s="13">
        <f>IF(J152&lt;=0.005,0,MIN(H152,J152-M152))</f>
        <v/>
      </c>
      <c r="O152" s="13">
        <f>ROUND(J152-M152-N152,2)</f>
        <v/>
      </c>
    </row>
    <row r="153">
      <c r="A153" s="11" t="n">
        <v>151</v>
      </c>
      <c r="B153" s="12">
        <f>EDATE(Inputs!$C$6,A153-1)</f>
        <v/>
      </c>
      <c r="C153" s="13">
        <f>G152</f>
        <v/>
      </c>
      <c r="D153" s="13">
        <f>IF(C153&lt;=0.005,0,ROUND(C153*Inputs!$C$8,2))</f>
        <v/>
      </c>
      <c r="E153" s="13">
        <f>IF(C153&lt;=0.005,0,MIN(Inputs!$C$7,C153+D153))</f>
        <v/>
      </c>
      <c r="F153" s="13">
        <f>E153-D153</f>
        <v/>
      </c>
      <c r="G153" s="13">
        <f>ROUND(C153-F153,2)</f>
        <v/>
      </c>
      <c r="H153" s="14" t="n">
        <v>0</v>
      </c>
      <c r="I153" s="11">
        <f>IF(H153=0,"",IF(A153&lt;2,"X not before month 2",IF(H153&lt;MAX(5000,Inputs!$C$7),"X below min",IF(H153&gt;MIN(5000000,0.75*J153),"X above max","OK"))))</f>
        <v/>
      </c>
      <c r="J153" s="13">
        <f>O152</f>
        <v/>
      </c>
      <c r="K153" s="13">
        <f>IF(J153&lt;=0.005,0,ROUND(J153*Inputs!$C$8,2))</f>
        <v/>
      </c>
      <c r="L153" s="13">
        <f>IF(J153&lt;=0.005,0,MIN(Inputs!$C$7,J153+K153))</f>
        <v/>
      </c>
      <c r="M153" s="13">
        <f>L153-K153</f>
        <v/>
      </c>
      <c r="N153" s="13">
        <f>IF(J153&lt;=0.005,0,MIN(H153,J153-M153))</f>
        <v/>
      </c>
      <c r="O153" s="13">
        <f>ROUND(J153-M153-N153,2)</f>
        <v/>
      </c>
    </row>
    <row r="154">
      <c r="A154" s="11" t="n">
        <v>152</v>
      </c>
      <c r="B154" s="12">
        <f>EDATE(Inputs!$C$6,A154-1)</f>
        <v/>
      </c>
      <c r="C154" s="13">
        <f>G153</f>
        <v/>
      </c>
      <c r="D154" s="13">
        <f>IF(C154&lt;=0.005,0,ROUND(C154*Inputs!$C$8,2))</f>
        <v/>
      </c>
      <c r="E154" s="13">
        <f>IF(C154&lt;=0.005,0,MIN(Inputs!$C$7,C154+D154))</f>
        <v/>
      </c>
      <c r="F154" s="13">
        <f>E154-D154</f>
        <v/>
      </c>
      <c r="G154" s="13">
        <f>ROUND(C154-F154,2)</f>
        <v/>
      </c>
      <c r="H154" s="14" t="n">
        <v>0</v>
      </c>
      <c r="I154" s="11">
        <f>IF(H154=0,"",IF(A154&lt;2,"X not before month 2",IF(H154&lt;MAX(5000,Inputs!$C$7),"X below min",IF(H154&gt;MIN(5000000,0.75*J154),"X above max","OK"))))</f>
        <v/>
      </c>
      <c r="J154" s="13">
        <f>O153</f>
        <v/>
      </c>
      <c r="K154" s="13">
        <f>IF(J154&lt;=0.005,0,ROUND(J154*Inputs!$C$8,2))</f>
        <v/>
      </c>
      <c r="L154" s="13">
        <f>IF(J154&lt;=0.005,0,MIN(Inputs!$C$7,J154+K154))</f>
        <v/>
      </c>
      <c r="M154" s="13">
        <f>L154-K154</f>
        <v/>
      </c>
      <c r="N154" s="13">
        <f>IF(J154&lt;=0.005,0,MIN(H154,J154-M154))</f>
        <v/>
      </c>
      <c r="O154" s="13">
        <f>ROUND(J154-M154-N154,2)</f>
        <v/>
      </c>
    </row>
    <row r="155">
      <c r="A155" s="11" t="n">
        <v>153</v>
      </c>
      <c r="B155" s="12">
        <f>EDATE(Inputs!$C$6,A155-1)</f>
        <v/>
      </c>
      <c r="C155" s="13">
        <f>G154</f>
        <v/>
      </c>
      <c r="D155" s="13">
        <f>IF(C155&lt;=0.005,0,ROUND(C155*Inputs!$C$8,2))</f>
        <v/>
      </c>
      <c r="E155" s="13">
        <f>IF(C155&lt;=0.005,0,MIN(Inputs!$C$7,C155+D155))</f>
        <v/>
      </c>
      <c r="F155" s="13">
        <f>E155-D155</f>
        <v/>
      </c>
      <c r="G155" s="13">
        <f>ROUND(C155-F155,2)</f>
        <v/>
      </c>
      <c r="H155" s="14" t="n">
        <v>0</v>
      </c>
      <c r="I155" s="11">
        <f>IF(H155=0,"",IF(A155&lt;2,"X not before month 2",IF(H155&lt;MAX(5000,Inputs!$C$7),"X below min",IF(H155&gt;MIN(5000000,0.75*J155),"X above max","OK"))))</f>
        <v/>
      </c>
      <c r="J155" s="13">
        <f>O154</f>
        <v/>
      </c>
      <c r="K155" s="13">
        <f>IF(J155&lt;=0.005,0,ROUND(J155*Inputs!$C$8,2))</f>
        <v/>
      </c>
      <c r="L155" s="13">
        <f>IF(J155&lt;=0.005,0,MIN(Inputs!$C$7,J155+K155))</f>
        <v/>
      </c>
      <c r="M155" s="13">
        <f>L155-K155</f>
        <v/>
      </c>
      <c r="N155" s="13">
        <f>IF(J155&lt;=0.005,0,MIN(H155,J155-M155))</f>
        <v/>
      </c>
      <c r="O155" s="13">
        <f>ROUND(J155-M155-N155,2)</f>
        <v/>
      </c>
    </row>
    <row r="156">
      <c r="A156" s="11" t="n">
        <v>154</v>
      </c>
      <c r="B156" s="12">
        <f>EDATE(Inputs!$C$6,A156-1)</f>
        <v/>
      </c>
      <c r="C156" s="13">
        <f>G155</f>
        <v/>
      </c>
      <c r="D156" s="13">
        <f>IF(C156&lt;=0.005,0,ROUND(C156*Inputs!$C$8,2))</f>
        <v/>
      </c>
      <c r="E156" s="13">
        <f>IF(C156&lt;=0.005,0,MIN(Inputs!$C$7,C156+D156))</f>
        <v/>
      </c>
      <c r="F156" s="13">
        <f>E156-D156</f>
        <v/>
      </c>
      <c r="G156" s="13">
        <f>ROUND(C156-F156,2)</f>
        <v/>
      </c>
      <c r="H156" s="14" t="n">
        <v>0</v>
      </c>
      <c r="I156" s="11">
        <f>IF(H156=0,"",IF(A156&lt;2,"X not before month 2",IF(H156&lt;MAX(5000,Inputs!$C$7),"X below min",IF(H156&gt;MIN(5000000,0.75*J156),"X above max","OK"))))</f>
        <v/>
      </c>
      <c r="J156" s="13">
        <f>O155</f>
        <v/>
      </c>
      <c r="K156" s="13">
        <f>IF(J156&lt;=0.005,0,ROUND(J156*Inputs!$C$8,2))</f>
        <v/>
      </c>
      <c r="L156" s="13">
        <f>IF(J156&lt;=0.005,0,MIN(Inputs!$C$7,J156+K156))</f>
        <v/>
      </c>
      <c r="M156" s="13">
        <f>L156-K156</f>
        <v/>
      </c>
      <c r="N156" s="13">
        <f>IF(J156&lt;=0.005,0,MIN(H156,J156-M156))</f>
        <v/>
      </c>
      <c r="O156" s="13">
        <f>ROUND(J156-M156-N156,2)</f>
        <v/>
      </c>
    </row>
    <row r="157">
      <c r="A157" s="11" t="n">
        <v>155</v>
      </c>
      <c r="B157" s="12">
        <f>EDATE(Inputs!$C$6,A157-1)</f>
        <v/>
      </c>
      <c r="C157" s="13">
        <f>G156</f>
        <v/>
      </c>
      <c r="D157" s="13">
        <f>IF(C157&lt;=0.005,0,ROUND(C157*Inputs!$C$8,2))</f>
        <v/>
      </c>
      <c r="E157" s="13">
        <f>IF(C157&lt;=0.005,0,MIN(Inputs!$C$7,C157+D157))</f>
        <v/>
      </c>
      <c r="F157" s="13">
        <f>E157-D157</f>
        <v/>
      </c>
      <c r="G157" s="13">
        <f>ROUND(C157-F157,2)</f>
        <v/>
      </c>
      <c r="H157" s="14" t="n">
        <v>0</v>
      </c>
      <c r="I157" s="11">
        <f>IF(H157=0,"",IF(A157&lt;2,"X not before month 2",IF(H157&lt;MAX(5000,Inputs!$C$7),"X below min",IF(H157&gt;MIN(5000000,0.75*J157),"X above max","OK"))))</f>
        <v/>
      </c>
      <c r="J157" s="13">
        <f>O156</f>
        <v/>
      </c>
      <c r="K157" s="13">
        <f>IF(J157&lt;=0.005,0,ROUND(J157*Inputs!$C$8,2))</f>
        <v/>
      </c>
      <c r="L157" s="13">
        <f>IF(J157&lt;=0.005,0,MIN(Inputs!$C$7,J157+K157))</f>
        <v/>
      </c>
      <c r="M157" s="13">
        <f>L157-K157</f>
        <v/>
      </c>
      <c r="N157" s="13">
        <f>IF(J157&lt;=0.005,0,MIN(H157,J157-M157))</f>
        <v/>
      </c>
      <c r="O157" s="13">
        <f>ROUND(J157-M157-N157,2)</f>
        <v/>
      </c>
    </row>
    <row r="158">
      <c r="A158" s="11" t="n">
        <v>156</v>
      </c>
      <c r="B158" s="12">
        <f>EDATE(Inputs!$C$6,A158-1)</f>
        <v/>
      </c>
      <c r="C158" s="13">
        <f>G157</f>
        <v/>
      </c>
      <c r="D158" s="13">
        <f>IF(C158&lt;=0.005,0,ROUND(C158*Inputs!$C$8,2))</f>
        <v/>
      </c>
      <c r="E158" s="13">
        <f>IF(C158&lt;=0.005,0,MIN(Inputs!$C$7,C158+D158))</f>
        <v/>
      </c>
      <c r="F158" s="13">
        <f>E158-D158</f>
        <v/>
      </c>
      <c r="G158" s="13">
        <f>ROUND(C158-F158,2)</f>
        <v/>
      </c>
      <c r="H158" s="14" t="n">
        <v>0</v>
      </c>
      <c r="I158" s="11">
        <f>IF(H158=0,"",IF(A158&lt;2,"X not before month 2",IF(H158&lt;MAX(5000,Inputs!$C$7),"X below min",IF(H158&gt;MIN(5000000,0.75*J158),"X above max","OK"))))</f>
        <v/>
      </c>
      <c r="J158" s="13">
        <f>O157</f>
        <v/>
      </c>
      <c r="K158" s="13">
        <f>IF(J158&lt;=0.005,0,ROUND(J158*Inputs!$C$8,2))</f>
        <v/>
      </c>
      <c r="L158" s="13">
        <f>IF(J158&lt;=0.005,0,MIN(Inputs!$C$7,J158+K158))</f>
        <v/>
      </c>
      <c r="M158" s="13">
        <f>L158-K158</f>
        <v/>
      </c>
      <c r="N158" s="13">
        <f>IF(J158&lt;=0.005,0,MIN(H158,J158-M158))</f>
        <v/>
      </c>
      <c r="O158" s="13">
        <f>ROUND(J158-M158-N158,2)</f>
        <v/>
      </c>
    </row>
    <row r="159">
      <c r="A159" s="11" t="n">
        <v>157</v>
      </c>
      <c r="B159" s="12">
        <f>EDATE(Inputs!$C$6,A159-1)</f>
        <v/>
      </c>
      <c r="C159" s="13">
        <f>G158</f>
        <v/>
      </c>
      <c r="D159" s="13">
        <f>IF(C159&lt;=0.005,0,ROUND(C159*Inputs!$C$8,2))</f>
        <v/>
      </c>
      <c r="E159" s="13">
        <f>IF(C159&lt;=0.005,0,MIN(Inputs!$C$7,C159+D159))</f>
        <v/>
      </c>
      <c r="F159" s="13">
        <f>E159-D159</f>
        <v/>
      </c>
      <c r="G159" s="13">
        <f>ROUND(C159-F159,2)</f>
        <v/>
      </c>
      <c r="H159" s="14" t="n">
        <v>0</v>
      </c>
      <c r="I159" s="11">
        <f>IF(H159=0,"",IF(A159&lt;2,"X not before month 2",IF(H159&lt;MAX(5000,Inputs!$C$7),"X below min",IF(H159&gt;MIN(5000000,0.75*J159),"X above max","OK"))))</f>
        <v/>
      </c>
      <c r="J159" s="13">
        <f>O158</f>
        <v/>
      </c>
      <c r="K159" s="13">
        <f>IF(J159&lt;=0.005,0,ROUND(J159*Inputs!$C$8,2))</f>
        <v/>
      </c>
      <c r="L159" s="13">
        <f>IF(J159&lt;=0.005,0,MIN(Inputs!$C$7,J159+K159))</f>
        <v/>
      </c>
      <c r="M159" s="13">
        <f>L159-K159</f>
        <v/>
      </c>
      <c r="N159" s="13">
        <f>IF(J159&lt;=0.005,0,MIN(H159,J159-M159))</f>
        <v/>
      </c>
      <c r="O159" s="13">
        <f>ROUND(J159-M159-N159,2)</f>
        <v/>
      </c>
    </row>
    <row r="160">
      <c r="A160" s="11" t="n">
        <v>158</v>
      </c>
      <c r="B160" s="12">
        <f>EDATE(Inputs!$C$6,A160-1)</f>
        <v/>
      </c>
      <c r="C160" s="13">
        <f>G159</f>
        <v/>
      </c>
      <c r="D160" s="13">
        <f>IF(C160&lt;=0.005,0,ROUND(C160*Inputs!$C$8,2))</f>
        <v/>
      </c>
      <c r="E160" s="13">
        <f>IF(C160&lt;=0.005,0,MIN(Inputs!$C$7,C160+D160))</f>
        <v/>
      </c>
      <c r="F160" s="13">
        <f>E160-D160</f>
        <v/>
      </c>
      <c r="G160" s="13">
        <f>ROUND(C160-F160,2)</f>
        <v/>
      </c>
      <c r="H160" s="14" t="n">
        <v>0</v>
      </c>
      <c r="I160" s="11">
        <f>IF(H160=0,"",IF(A160&lt;2,"X not before month 2",IF(H160&lt;MAX(5000,Inputs!$C$7),"X below min",IF(H160&gt;MIN(5000000,0.75*J160),"X above max","OK"))))</f>
        <v/>
      </c>
      <c r="J160" s="13">
        <f>O159</f>
        <v/>
      </c>
      <c r="K160" s="13">
        <f>IF(J160&lt;=0.005,0,ROUND(J160*Inputs!$C$8,2))</f>
        <v/>
      </c>
      <c r="L160" s="13">
        <f>IF(J160&lt;=0.005,0,MIN(Inputs!$C$7,J160+K160))</f>
        <v/>
      </c>
      <c r="M160" s="13">
        <f>L160-K160</f>
        <v/>
      </c>
      <c r="N160" s="13">
        <f>IF(J160&lt;=0.005,0,MIN(H160,J160-M160))</f>
        <v/>
      </c>
      <c r="O160" s="13">
        <f>ROUND(J160-M160-N160,2)</f>
        <v/>
      </c>
    </row>
    <row r="161">
      <c r="A161" s="11" t="n">
        <v>159</v>
      </c>
      <c r="B161" s="12">
        <f>EDATE(Inputs!$C$6,A161-1)</f>
        <v/>
      </c>
      <c r="C161" s="13">
        <f>G160</f>
        <v/>
      </c>
      <c r="D161" s="13">
        <f>IF(C161&lt;=0.005,0,ROUND(C161*Inputs!$C$8,2))</f>
        <v/>
      </c>
      <c r="E161" s="13">
        <f>IF(C161&lt;=0.005,0,MIN(Inputs!$C$7,C161+D161))</f>
        <v/>
      </c>
      <c r="F161" s="13">
        <f>E161-D161</f>
        <v/>
      </c>
      <c r="G161" s="13">
        <f>ROUND(C161-F161,2)</f>
        <v/>
      </c>
      <c r="H161" s="14" t="n">
        <v>0</v>
      </c>
      <c r="I161" s="11">
        <f>IF(H161=0,"",IF(A161&lt;2,"X not before month 2",IF(H161&lt;MAX(5000,Inputs!$C$7),"X below min",IF(H161&gt;MIN(5000000,0.75*J161),"X above max","OK"))))</f>
        <v/>
      </c>
      <c r="J161" s="13">
        <f>O160</f>
        <v/>
      </c>
      <c r="K161" s="13">
        <f>IF(J161&lt;=0.005,0,ROUND(J161*Inputs!$C$8,2))</f>
        <v/>
      </c>
      <c r="L161" s="13">
        <f>IF(J161&lt;=0.005,0,MIN(Inputs!$C$7,J161+K161))</f>
        <v/>
      </c>
      <c r="M161" s="13">
        <f>L161-K161</f>
        <v/>
      </c>
      <c r="N161" s="13">
        <f>IF(J161&lt;=0.005,0,MIN(H161,J161-M161))</f>
        <v/>
      </c>
      <c r="O161" s="13">
        <f>ROUND(J161-M161-N161,2)</f>
        <v/>
      </c>
    </row>
    <row r="162">
      <c r="A162" s="11" t="n">
        <v>160</v>
      </c>
      <c r="B162" s="12">
        <f>EDATE(Inputs!$C$6,A162-1)</f>
        <v/>
      </c>
      <c r="C162" s="13">
        <f>G161</f>
        <v/>
      </c>
      <c r="D162" s="13">
        <f>IF(C162&lt;=0.005,0,ROUND(C162*Inputs!$C$8,2))</f>
        <v/>
      </c>
      <c r="E162" s="13">
        <f>IF(C162&lt;=0.005,0,MIN(Inputs!$C$7,C162+D162))</f>
        <v/>
      </c>
      <c r="F162" s="13">
        <f>E162-D162</f>
        <v/>
      </c>
      <c r="G162" s="13">
        <f>ROUND(C162-F162,2)</f>
        <v/>
      </c>
      <c r="H162" s="14" t="n">
        <v>0</v>
      </c>
      <c r="I162" s="11">
        <f>IF(H162=0,"",IF(A162&lt;2,"X not before month 2",IF(H162&lt;MAX(5000,Inputs!$C$7),"X below min",IF(H162&gt;MIN(5000000,0.75*J162),"X above max","OK"))))</f>
        <v/>
      </c>
      <c r="J162" s="13">
        <f>O161</f>
        <v/>
      </c>
      <c r="K162" s="13">
        <f>IF(J162&lt;=0.005,0,ROUND(J162*Inputs!$C$8,2))</f>
        <v/>
      </c>
      <c r="L162" s="13">
        <f>IF(J162&lt;=0.005,0,MIN(Inputs!$C$7,J162+K162))</f>
        <v/>
      </c>
      <c r="M162" s="13">
        <f>L162-K162</f>
        <v/>
      </c>
      <c r="N162" s="13">
        <f>IF(J162&lt;=0.005,0,MIN(H162,J162-M162))</f>
        <v/>
      </c>
      <c r="O162" s="13">
        <f>ROUND(J162-M162-N162,2)</f>
        <v/>
      </c>
    </row>
    <row r="163">
      <c r="A163" s="11" t="n">
        <v>161</v>
      </c>
      <c r="B163" s="12">
        <f>EDATE(Inputs!$C$6,A163-1)</f>
        <v/>
      </c>
      <c r="C163" s="13">
        <f>G162</f>
        <v/>
      </c>
      <c r="D163" s="13">
        <f>IF(C163&lt;=0.005,0,ROUND(C163*Inputs!$C$8,2))</f>
        <v/>
      </c>
      <c r="E163" s="13">
        <f>IF(C163&lt;=0.005,0,MIN(Inputs!$C$7,C163+D163))</f>
        <v/>
      </c>
      <c r="F163" s="13">
        <f>E163-D163</f>
        <v/>
      </c>
      <c r="G163" s="13">
        <f>ROUND(C163-F163,2)</f>
        <v/>
      </c>
      <c r="H163" s="14" t="n">
        <v>0</v>
      </c>
      <c r="I163" s="11">
        <f>IF(H163=0,"",IF(A163&lt;2,"X not before month 2",IF(H163&lt;MAX(5000,Inputs!$C$7),"X below min",IF(H163&gt;MIN(5000000,0.75*J163),"X above max","OK"))))</f>
        <v/>
      </c>
      <c r="J163" s="13">
        <f>O162</f>
        <v/>
      </c>
      <c r="K163" s="13">
        <f>IF(J163&lt;=0.005,0,ROUND(J163*Inputs!$C$8,2))</f>
        <v/>
      </c>
      <c r="L163" s="13">
        <f>IF(J163&lt;=0.005,0,MIN(Inputs!$C$7,J163+K163))</f>
        <v/>
      </c>
      <c r="M163" s="13">
        <f>L163-K163</f>
        <v/>
      </c>
      <c r="N163" s="13">
        <f>IF(J163&lt;=0.005,0,MIN(H163,J163-M163))</f>
        <v/>
      </c>
      <c r="O163" s="13">
        <f>ROUND(J163-M163-N163,2)</f>
        <v/>
      </c>
    </row>
    <row r="164">
      <c r="A164" s="11" t="n">
        <v>162</v>
      </c>
      <c r="B164" s="12">
        <f>EDATE(Inputs!$C$6,A164-1)</f>
        <v/>
      </c>
      <c r="C164" s="13">
        <f>G163</f>
        <v/>
      </c>
      <c r="D164" s="13">
        <f>IF(C164&lt;=0.005,0,ROUND(C164*Inputs!$C$8,2))</f>
        <v/>
      </c>
      <c r="E164" s="13">
        <f>IF(C164&lt;=0.005,0,MIN(Inputs!$C$7,C164+D164))</f>
        <v/>
      </c>
      <c r="F164" s="13">
        <f>E164-D164</f>
        <v/>
      </c>
      <c r="G164" s="13">
        <f>ROUND(C164-F164,2)</f>
        <v/>
      </c>
      <c r="H164" s="14" t="n">
        <v>0</v>
      </c>
      <c r="I164" s="11">
        <f>IF(H164=0,"",IF(A164&lt;2,"X not before month 2",IF(H164&lt;MAX(5000,Inputs!$C$7),"X below min",IF(H164&gt;MIN(5000000,0.75*J164),"X above max","OK"))))</f>
        <v/>
      </c>
      <c r="J164" s="13">
        <f>O163</f>
        <v/>
      </c>
      <c r="K164" s="13">
        <f>IF(J164&lt;=0.005,0,ROUND(J164*Inputs!$C$8,2))</f>
        <v/>
      </c>
      <c r="L164" s="13">
        <f>IF(J164&lt;=0.005,0,MIN(Inputs!$C$7,J164+K164))</f>
        <v/>
      </c>
      <c r="M164" s="13">
        <f>L164-K164</f>
        <v/>
      </c>
      <c r="N164" s="13">
        <f>IF(J164&lt;=0.005,0,MIN(H164,J164-M164))</f>
        <v/>
      </c>
      <c r="O164" s="13">
        <f>ROUND(J164-M164-N164,2)</f>
        <v/>
      </c>
    </row>
    <row r="165">
      <c r="A165" s="11" t="n">
        <v>163</v>
      </c>
      <c r="B165" s="12">
        <f>EDATE(Inputs!$C$6,A165-1)</f>
        <v/>
      </c>
      <c r="C165" s="13">
        <f>G164</f>
        <v/>
      </c>
      <c r="D165" s="13">
        <f>IF(C165&lt;=0.005,0,ROUND(C165*Inputs!$C$8,2))</f>
        <v/>
      </c>
      <c r="E165" s="13">
        <f>IF(C165&lt;=0.005,0,MIN(Inputs!$C$7,C165+D165))</f>
        <v/>
      </c>
      <c r="F165" s="13">
        <f>E165-D165</f>
        <v/>
      </c>
      <c r="G165" s="13">
        <f>ROUND(C165-F165,2)</f>
        <v/>
      </c>
      <c r="H165" s="14" t="n">
        <v>0</v>
      </c>
      <c r="I165" s="11">
        <f>IF(H165=0,"",IF(A165&lt;2,"X not before month 2",IF(H165&lt;MAX(5000,Inputs!$C$7),"X below min",IF(H165&gt;MIN(5000000,0.75*J165),"X above max","OK"))))</f>
        <v/>
      </c>
      <c r="J165" s="13">
        <f>O164</f>
        <v/>
      </c>
      <c r="K165" s="13">
        <f>IF(J165&lt;=0.005,0,ROUND(J165*Inputs!$C$8,2))</f>
        <v/>
      </c>
      <c r="L165" s="13">
        <f>IF(J165&lt;=0.005,0,MIN(Inputs!$C$7,J165+K165))</f>
        <v/>
      </c>
      <c r="M165" s="13">
        <f>L165-K165</f>
        <v/>
      </c>
      <c r="N165" s="13">
        <f>IF(J165&lt;=0.005,0,MIN(H165,J165-M165))</f>
        <v/>
      </c>
      <c r="O165" s="13">
        <f>ROUND(J165-M165-N165,2)</f>
        <v/>
      </c>
    </row>
    <row r="166">
      <c r="A166" s="11" t="n">
        <v>164</v>
      </c>
      <c r="B166" s="12">
        <f>EDATE(Inputs!$C$6,A166-1)</f>
        <v/>
      </c>
      <c r="C166" s="13">
        <f>G165</f>
        <v/>
      </c>
      <c r="D166" s="13">
        <f>IF(C166&lt;=0.005,0,ROUND(C166*Inputs!$C$8,2))</f>
        <v/>
      </c>
      <c r="E166" s="13">
        <f>IF(C166&lt;=0.005,0,MIN(Inputs!$C$7,C166+D166))</f>
        <v/>
      </c>
      <c r="F166" s="13">
        <f>E166-D166</f>
        <v/>
      </c>
      <c r="G166" s="13">
        <f>ROUND(C166-F166,2)</f>
        <v/>
      </c>
      <c r="H166" s="14" t="n">
        <v>0</v>
      </c>
      <c r="I166" s="11">
        <f>IF(H166=0,"",IF(A166&lt;2,"X not before month 2",IF(H166&lt;MAX(5000,Inputs!$C$7),"X below min",IF(H166&gt;MIN(5000000,0.75*J166),"X above max","OK"))))</f>
        <v/>
      </c>
      <c r="J166" s="13">
        <f>O165</f>
        <v/>
      </c>
      <c r="K166" s="13">
        <f>IF(J166&lt;=0.005,0,ROUND(J166*Inputs!$C$8,2))</f>
        <v/>
      </c>
      <c r="L166" s="13">
        <f>IF(J166&lt;=0.005,0,MIN(Inputs!$C$7,J166+K166))</f>
        <v/>
      </c>
      <c r="M166" s="13">
        <f>L166-K166</f>
        <v/>
      </c>
      <c r="N166" s="13">
        <f>IF(J166&lt;=0.005,0,MIN(H166,J166-M166))</f>
        <v/>
      </c>
      <c r="O166" s="13">
        <f>ROUND(J166-M166-N166,2)</f>
        <v/>
      </c>
    </row>
    <row r="167">
      <c r="A167" s="11" t="n">
        <v>165</v>
      </c>
      <c r="B167" s="12">
        <f>EDATE(Inputs!$C$6,A167-1)</f>
        <v/>
      </c>
      <c r="C167" s="13">
        <f>G166</f>
        <v/>
      </c>
      <c r="D167" s="13">
        <f>IF(C167&lt;=0.005,0,ROUND(C167*Inputs!$C$8,2))</f>
        <v/>
      </c>
      <c r="E167" s="13">
        <f>IF(C167&lt;=0.005,0,MIN(Inputs!$C$7,C167+D167))</f>
        <v/>
      </c>
      <c r="F167" s="13">
        <f>E167-D167</f>
        <v/>
      </c>
      <c r="G167" s="13">
        <f>ROUND(C167-F167,2)</f>
        <v/>
      </c>
      <c r="H167" s="14" t="n">
        <v>0</v>
      </c>
      <c r="I167" s="11">
        <f>IF(H167=0,"",IF(A167&lt;2,"X not before month 2",IF(H167&lt;MAX(5000,Inputs!$C$7),"X below min",IF(H167&gt;MIN(5000000,0.75*J167),"X above max","OK"))))</f>
        <v/>
      </c>
      <c r="J167" s="13">
        <f>O166</f>
        <v/>
      </c>
      <c r="K167" s="13">
        <f>IF(J167&lt;=0.005,0,ROUND(J167*Inputs!$C$8,2))</f>
        <v/>
      </c>
      <c r="L167" s="13">
        <f>IF(J167&lt;=0.005,0,MIN(Inputs!$C$7,J167+K167))</f>
        <v/>
      </c>
      <c r="M167" s="13">
        <f>L167-K167</f>
        <v/>
      </c>
      <c r="N167" s="13">
        <f>IF(J167&lt;=0.005,0,MIN(H167,J167-M167))</f>
        <v/>
      </c>
      <c r="O167" s="13">
        <f>ROUND(J167-M167-N167,2)</f>
        <v/>
      </c>
    </row>
    <row r="168">
      <c r="A168" s="11" t="n">
        <v>166</v>
      </c>
      <c r="B168" s="12">
        <f>EDATE(Inputs!$C$6,A168-1)</f>
        <v/>
      </c>
      <c r="C168" s="13">
        <f>G167</f>
        <v/>
      </c>
      <c r="D168" s="13">
        <f>IF(C168&lt;=0.005,0,ROUND(C168*Inputs!$C$8,2))</f>
        <v/>
      </c>
      <c r="E168" s="13">
        <f>IF(C168&lt;=0.005,0,MIN(Inputs!$C$7,C168+D168))</f>
        <v/>
      </c>
      <c r="F168" s="13">
        <f>E168-D168</f>
        <v/>
      </c>
      <c r="G168" s="13">
        <f>ROUND(C168-F168,2)</f>
        <v/>
      </c>
      <c r="H168" s="14" t="n">
        <v>0</v>
      </c>
      <c r="I168" s="11">
        <f>IF(H168=0,"",IF(A168&lt;2,"X not before month 2",IF(H168&lt;MAX(5000,Inputs!$C$7),"X below min",IF(H168&gt;MIN(5000000,0.75*J168),"X above max","OK"))))</f>
        <v/>
      </c>
      <c r="J168" s="13">
        <f>O167</f>
        <v/>
      </c>
      <c r="K168" s="13">
        <f>IF(J168&lt;=0.005,0,ROUND(J168*Inputs!$C$8,2))</f>
        <v/>
      </c>
      <c r="L168" s="13">
        <f>IF(J168&lt;=0.005,0,MIN(Inputs!$C$7,J168+K168))</f>
        <v/>
      </c>
      <c r="M168" s="13">
        <f>L168-K168</f>
        <v/>
      </c>
      <c r="N168" s="13">
        <f>IF(J168&lt;=0.005,0,MIN(H168,J168-M168))</f>
        <v/>
      </c>
      <c r="O168" s="13">
        <f>ROUND(J168-M168-N168,2)</f>
        <v/>
      </c>
    </row>
    <row r="169">
      <c r="A169" s="11" t="n">
        <v>167</v>
      </c>
      <c r="B169" s="12">
        <f>EDATE(Inputs!$C$6,A169-1)</f>
        <v/>
      </c>
      <c r="C169" s="13">
        <f>G168</f>
        <v/>
      </c>
      <c r="D169" s="13">
        <f>IF(C169&lt;=0.005,0,ROUND(C169*Inputs!$C$8,2))</f>
        <v/>
      </c>
      <c r="E169" s="13">
        <f>IF(C169&lt;=0.005,0,MIN(Inputs!$C$7,C169+D169))</f>
        <v/>
      </c>
      <c r="F169" s="13">
        <f>E169-D169</f>
        <v/>
      </c>
      <c r="G169" s="13">
        <f>ROUND(C169-F169,2)</f>
        <v/>
      </c>
      <c r="H169" s="14" t="n">
        <v>0</v>
      </c>
      <c r="I169" s="11">
        <f>IF(H169=0,"",IF(A169&lt;2,"X not before month 2",IF(H169&lt;MAX(5000,Inputs!$C$7),"X below min",IF(H169&gt;MIN(5000000,0.75*J169),"X above max","OK"))))</f>
        <v/>
      </c>
      <c r="J169" s="13">
        <f>O168</f>
        <v/>
      </c>
      <c r="K169" s="13">
        <f>IF(J169&lt;=0.005,0,ROUND(J169*Inputs!$C$8,2))</f>
        <v/>
      </c>
      <c r="L169" s="13">
        <f>IF(J169&lt;=0.005,0,MIN(Inputs!$C$7,J169+K169))</f>
        <v/>
      </c>
      <c r="M169" s="13">
        <f>L169-K169</f>
        <v/>
      </c>
      <c r="N169" s="13">
        <f>IF(J169&lt;=0.005,0,MIN(H169,J169-M169))</f>
        <v/>
      </c>
      <c r="O169" s="13">
        <f>ROUND(J169-M169-N169,2)</f>
        <v/>
      </c>
    </row>
    <row r="170">
      <c r="A170" s="11" t="n">
        <v>168</v>
      </c>
      <c r="B170" s="12">
        <f>EDATE(Inputs!$C$6,A170-1)</f>
        <v/>
      </c>
      <c r="C170" s="13">
        <f>G169</f>
        <v/>
      </c>
      <c r="D170" s="13">
        <f>IF(C170&lt;=0.005,0,ROUND(C170*Inputs!$C$8,2))</f>
        <v/>
      </c>
      <c r="E170" s="13">
        <f>IF(C170&lt;=0.005,0,MIN(Inputs!$C$7,C170+D170))</f>
        <v/>
      </c>
      <c r="F170" s="13">
        <f>E170-D170</f>
        <v/>
      </c>
      <c r="G170" s="13">
        <f>ROUND(C170-F170,2)</f>
        <v/>
      </c>
      <c r="H170" s="14" t="n">
        <v>0</v>
      </c>
      <c r="I170" s="11">
        <f>IF(H170=0,"",IF(A170&lt;2,"X not before month 2",IF(H170&lt;MAX(5000,Inputs!$C$7),"X below min",IF(H170&gt;MIN(5000000,0.75*J170),"X above max","OK"))))</f>
        <v/>
      </c>
      <c r="J170" s="13">
        <f>O169</f>
        <v/>
      </c>
      <c r="K170" s="13">
        <f>IF(J170&lt;=0.005,0,ROUND(J170*Inputs!$C$8,2))</f>
        <v/>
      </c>
      <c r="L170" s="13">
        <f>IF(J170&lt;=0.005,0,MIN(Inputs!$C$7,J170+K170))</f>
        <v/>
      </c>
      <c r="M170" s="13">
        <f>L170-K170</f>
        <v/>
      </c>
      <c r="N170" s="13">
        <f>IF(J170&lt;=0.005,0,MIN(H170,J170-M170))</f>
        <v/>
      </c>
      <c r="O170" s="13">
        <f>ROUND(J170-M170-N170,2)</f>
        <v/>
      </c>
    </row>
    <row r="171">
      <c r="A171" s="11" t="n">
        <v>169</v>
      </c>
      <c r="B171" s="12">
        <f>EDATE(Inputs!$C$6,A171-1)</f>
        <v/>
      </c>
      <c r="C171" s="13">
        <f>G170</f>
        <v/>
      </c>
      <c r="D171" s="13">
        <f>IF(C171&lt;=0.005,0,ROUND(C171*Inputs!$C$8,2))</f>
        <v/>
      </c>
      <c r="E171" s="13">
        <f>IF(C171&lt;=0.005,0,MIN(Inputs!$C$7,C171+D171))</f>
        <v/>
      </c>
      <c r="F171" s="13">
        <f>E171-D171</f>
        <v/>
      </c>
      <c r="G171" s="13">
        <f>ROUND(C171-F171,2)</f>
        <v/>
      </c>
      <c r="H171" s="14" t="n">
        <v>0</v>
      </c>
      <c r="I171" s="11">
        <f>IF(H171=0,"",IF(A171&lt;2,"X not before month 2",IF(H171&lt;MAX(5000,Inputs!$C$7),"X below min",IF(H171&gt;MIN(5000000,0.75*J171),"X above max","OK"))))</f>
        <v/>
      </c>
      <c r="J171" s="13">
        <f>O170</f>
        <v/>
      </c>
      <c r="K171" s="13">
        <f>IF(J171&lt;=0.005,0,ROUND(J171*Inputs!$C$8,2))</f>
        <v/>
      </c>
      <c r="L171" s="13">
        <f>IF(J171&lt;=0.005,0,MIN(Inputs!$C$7,J171+K171))</f>
        <v/>
      </c>
      <c r="M171" s="13">
        <f>L171-K171</f>
        <v/>
      </c>
      <c r="N171" s="13">
        <f>IF(J171&lt;=0.005,0,MIN(H171,J171-M171))</f>
        <v/>
      </c>
      <c r="O171" s="13">
        <f>ROUND(J171-M171-N171,2)</f>
        <v/>
      </c>
    </row>
    <row r="172">
      <c r="A172" s="11" t="n">
        <v>170</v>
      </c>
      <c r="B172" s="12">
        <f>EDATE(Inputs!$C$6,A172-1)</f>
        <v/>
      </c>
      <c r="C172" s="13">
        <f>G171</f>
        <v/>
      </c>
      <c r="D172" s="13">
        <f>IF(C172&lt;=0.005,0,ROUND(C172*Inputs!$C$8,2))</f>
        <v/>
      </c>
      <c r="E172" s="13">
        <f>IF(C172&lt;=0.005,0,MIN(Inputs!$C$7,C172+D172))</f>
        <v/>
      </c>
      <c r="F172" s="13">
        <f>E172-D172</f>
        <v/>
      </c>
      <c r="G172" s="13">
        <f>ROUND(C172-F172,2)</f>
        <v/>
      </c>
      <c r="H172" s="14" t="n">
        <v>0</v>
      </c>
      <c r="I172" s="11">
        <f>IF(H172=0,"",IF(A172&lt;2,"X not before month 2",IF(H172&lt;MAX(5000,Inputs!$C$7),"X below min",IF(H172&gt;MIN(5000000,0.75*J172),"X above max","OK"))))</f>
        <v/>
      </c>
      <c r="J172" s="13">
        <f>O171</f>
        <v/>
      </c>
      <c r="K172" s="13">
        <f>IF(J172&lt;=0.005,0,ROUND(J172*Inputs!$C$8,2))</f>
        <v/>
      </c>
      <c r="L172" s="13">
        <f>IF(J172&lt;=0.005,0,MIN(Inputs!$C$7,J172+K172))</f>
        <v/>
      </c>
      <c r="M172" s="13">
        <f>L172-K172</f>
        <v/>
      </c>
      <c r="N172" s="13">
        <f>IF(J172&lt;=0.005,0,MIN(H172,J172-M172))</f>
        <v/>
      </c>
      <c r="O172" s="13">
        <f>ROUND(J172-M172-N172,2)</f>
        <v/>
      </c>
    </row>
    <row r="173">
      <c r="A173" s="11" t="n">
        <v>171</v>
      </c>
      <c r="B173" s="12">
        <f>EDATE(Inputs!$C$6,A173-1)</f>
        <v/>
      </c>
      <c r="C173" s="13">
        <f>G172</f>
        <v/>
      </c>
      <c r="D173" s="13">
        <f>IF(C173&lt;=0.005,0,ROUND(C173*Inputs!$C$8,2))</f>
        <v/>
      </c>
      <c r="E173" s="13">
        <f>IF(C173&lt;=0.005,0,MIN(Inputs!$C$7,C173+D173))</f>
        <v/>
      </c>
      <c r="F173" s="13">
        <f>E173-D173</f>
        <v/>
      </c>
      <c r="G173" s="13">
        <f>ROUND(C173-F173,2)</f>
        <v/>
      </c>
      <c r="H173" s="14" t="n">
        <v>0</v>
      </c>
      <c r="I173" s="11">
        <f>IF(H173=0,"",IF(A173&lt;2,"X not before month 2",IF(H173&lt;MAX(5000,Inputs!$C$7),"X below min",IF(H173&gt;MIN(5000000,0.75*J173),"X above max","OK"))))</f>
        <v/>
      </c>
      <c r="J173" s="13">
        <f>O172</f>
        <v/>
      </c>
      <c r="K173" s="13">
        <f>IF(J173&lt;=0.005,0,ROUND(J173*Inputs!$C$8,2))</f>
        <v/>
      </c>
      <c r="L173" s="13">
        <f>IF(J173&lt;=0.005,0,MIN(Inputs!$C$7,J173+K173))</f>
        <v/>
      </c>
      <c r="M173" s="13">
        <f>L173-K173</f>
        <v/>
      </c>
      <c r="N173" s="13">
        <f>IF(J173&lt;=0.005,0,MIN(H173,J173-M173))</f>
        <v/>
      </c>
      <c r="O173" s="13">
        <f>ROUND(J173-M173-N173,2)</f>
        <v/>
      </c>
    </row>
    <row r="174">
      <c r="A174" s="11" t="n">
        <v>172</v>
      </c>
      <c r="B174" s="12">
        <f>EDATE(Inputs!$C$6,A174-1)</f>
        <v/>
      </c>
      <c r="C174" s="13">
        <f>G173</f>
        <v/>
      </c>
      <c r="D174" s="13">
        <f>IF(C174&lt;=0.005,0,ROUND(C174*Inputs!$C$8,2))</f>
        <v/>
      </c>
      <c r="E174" s="13">
        <f>IF(C174&lt;=0.005,0,MIN(Inputs!$C$7,C174+D174))</f>
        <v/>
      </c>
      <c r="F174" s="13">
        <f>E174-D174</f>
        <v/>
      </c>
      <c r="G174" s="13">
        <f>ROUND(C174-F174,2)</f>
        <v/>
      </c>
      <c r="H174" s="14" t="n">
        <v>0</v>
      </c>
      <c r="I174" s="11">
        <f>IF(H174=0,"",IF(A174&lt;2,"X not before month 2",IF(H174&lt;MAX(5000,Inputs!$C$7),"X below min",IF(H174&gt;MIN(5000000,0.75*J174),"X above max","OK"))))</f>
        <v/>
      </c>
      <c r="J174" s="13">
        <f>O173</f>
        <v/>
      </c>
      <c r="K174" s="13">
        <f>IF(J174&lt;=0.005,0,ROUND(J174*Inputs!$C$8,2))</f>
        <v/>
      </c>
      <c r="L174" s="13">
        <f>IF(J174&lt;=0.005,0,MIN(Inputs!$C$7,J174+K174))</f>
        <v/>
      </c>
      <c r="M174" s="13">
        <f>L174-K174</f>
        <v/>
      </c>
      <c r="N174" s="13">
        <f>IF(J174&lt;=0.005,0,MIN(H174,J174-M174))</f>
        <v/>
      </c>
      <c r="O174" s="13">
        <f>ROUND(J174-M174-N174,2)</f>
        <v/>
      </c>
    </row>
    <row r="175">
      <c r="A175" s="11" t="n">
        <v>173</v>
      </c>
      <c r="B175" s="12">
        <f>EDATE(Inputs!$C$6,A175-1)</f>
        <v/>
      </c>
      <c r="C175" s="13">
        <f>G174</f>
        <v/>
      </c>
      <c r="D175" s="13">
        <f>IF(C175&lt;=0.005,0,ROUND(C175*Inputs!$C$8,2))</f>
        <v/>
      </c>
      <c r="E175" s="13">
        <f>IF(C175&lt;=0.005,0,MIN(Inputs!$C$7,C175+D175))</f>
        <v/>
      </c>
      <c r="F175" s="13">
        <f>E175-D175</f>
        <v/>
      </c>
      <c r="G175" s="13">
        <f>ROUND(C175-F175,2)</f>
        <v/>
      </c>
      <c r="H175" s="14" t="n">
        <v>0</v>
      </c>
      <c r="I175" s="11">
        <f>IF(H175=0,"",IF(A175&lt;2,"X not before month 2",IF(H175&lt;MAX(5000,Inputs!$C$7),"X below min",IF(H175&gt;MIN(5000000,0.75*J175),"X above max","OK"))))</f>
        <v/>
      </c>
      <c r="J175" s="13">
        <f>O174</f>
        <v/>
      </c>
      <c r="K175" s="13">
        <f>IF(J175&lt;=0.005,0,ROUND(J175*Inputs!$C$8,2))</f>
        <v/>
      </c>
      <c r="L175" s="13">
        <f>IF(J175&lt;=0.005,0,MIN(Inputs!$C$7,J175+K175))</f>
        <v/>
      </c>
      <c r="M175" s="13">
        <f>L175-K175</f>
        <v/>
      </c>
      <c r="N175" s="13">
        <f>IF(J175&lt;=0.005,0,MIN(H175,J175-M175))</f>
        <v/>
      </c>
      <c r="O175" s="13">
        <f>ROUND(J175-M175-N175,2)</f>
        <v/>
      </c>
    </row>
    <row r="176">
      <c r="A176" s="11" t="n">
        <v>174</v>
      </c>
      <c r="B176" s="12">
        <f>EDATE(Inputs!$C$6,A176-1)</f>
        <v/>
      </c>
      <c r="C176" s="13">
        <f>G175</f>
        <v/>
      </c>
      <c r="D176" s="13">
        <f>IF(C176&lt;=0.005,0,ROUND(C176*Inputs!$C$8,2))</f>
        <v/>
      </c>
      <c r="E176" s="13">
        <f>IF(C176&lt;=0.005,0,MIN(Inputs!$C$7,C176+D176))</f>
        <v/>
      </c>
      <c r="F176" s="13">
        <f>E176-D176</f>
        <v/>
      </c>
      <c r="G176" s="13">
        <f>ROUND(C176-F176,2)</f>
        <v/>
      </c>
      <c r="H176" s="14" t="n">
        <v>0</v>
      </c>
      <c r="I176" s="11">
        <f>IF(H176=0,"",IF(A176&lt;2,"X not before month 2",IF(H176&lt;MAX(5000,Inputs!$C$7),"X below min",IF(H176&gt;MIN(5000000,0.75*J176),"X above max","OK"))))</f>
        <v/>
      </c>
      <c r="J176" s="13">
        <f>O175</f>
        <v/>
      </c>
      <c r="K176" s="13">
        <f>IF(J176&lt;=0.005,0,ROUND(J176*Inputs!$C$8,2))</f>
        <v/>
      </c>
      <c r="L176" s="13">
        <f>IF(J176&lt;=0.005,0,MIN(Inputs!$C$7,J176+K176))</f>
        <v/>
      </c>
      <c r="M176" s="13">
        <f>L176-K176</f>
        <v/>
      </c>
      <c r="N176" s="13">
        <f>IF(J176&lt;=0.005,0,MIN(H176,J176-M176))</f>
        <v/>
      </c>
      <c r="O176" s="13">
        <f>ROUND(J176-M176-N176,2)</f>
        <v/>
      </c>
    </row>
    <row r="177">
      <c r="A177" s="11" t="n">
        <v>175</v>
      </c>
      <c r="B177" s="12">
        <f>EDATE(Inputs!$C$6,A177-1)</f>
        <v/>
      </c>
      <c r="C177" s="13">
        <f>G176</f>
        <v/>
      </c>
      <c r="D177" s="13">
        <f>IF(C177&lt;=0.005,0,ROUND(C177*Inputs!$C$8,2))</f>
        <v/>
      </c>
      <c r="E177" s="13">
        <f>IF(C177&lt;=0.005,0,MIN(Inputs!$C$7,C177+D177))</f>
        <v/>
      </c>
      <c r="F177" s="13">
        <f>E177-D177</f>
        <v/>
      </c>
      <c r="G177" s="13">
        <f>ROUND(C177-F177,2)</f>
        <v/>
      </c>
      <c r="H177" s="14" t="n">
        <v>0</v>
      </c>
      <c r="I177" s="11">
        <f>IF(H177=0,"",IF(A177&lt;2,"X not before month 2",IF(H177&lt;MAX(5000,Inputs!$C$7),"X below min",IF(H177&gt;MIN(5000000,0.75*J177),"X above max","OK"))))</f>
        <v/>
      </c>
      <c r="J177" s="13">
        <f>O176</f>
        <v/>
      </c>
      <c r="K177" s="13">
        <f>IF(J177&lt;=0.005,0,ROUND(J177*Inputs!$C$8,2))</f>
        <v/>
      </c>
      <c r="L177" s="13">
        <f>IF(J177&lt;=0.005,0,MIN(Inputs!$C$7,J177+K177))</f>
        <v/>
      </c>
      <c r="M177" s="13">
        <f>L177-K177</f>
        <v/>
      </c>
      <c r="N177" s="13">
        <f>IF(J177&lt;=0.005,0,MIN(H177,J177-M177))</f>
        <v/>
      </c>
      <c r="O177" s="13">
        <f>ROUND(J177-M177-N177,2)</f>
        <v/>
      </c>
    </row>
    <row r="178">
      <c r="A178" s="11" t="n">
        <v>176</v>
      </c>
      <c r="B178" s="12">
        <f>EDATE(Inputs!$C$6,A178-1)</f>
        <v/>
      </c>
      <c r="C178" s="13">
        <f>G177</f>
        <v/>
      </c>
      <c r="D178" s="13">
        <f>IF(C178&lt;=0.005,0,ROUND(C178*Inputs!$C$8,2))</f>
        <v/>
      </c>
      <c r="E178" s="13">
        <f>IF(C178&lt;=0.005,0,MIN(Inputs!$C$7,C178+D178))</f>
        <v/>
      </c>
      <c r="F178" s="13">
        <f>E178-D178</f>
        <v/>
      </c>
      <c r="G178" s="13">
        <f>ROUND(C178-F178,2)</f>
        <v/>
      </c>
      <c r="H178" s="14" t="n">
        <v>0</v>
      </c>
      <c r="I178" s="11">
        <f>IF(H178=0,"",IF(A178&lt;2,"X not before month 2",IF(H178&lt;MAX(5000,Inputs!$C$7),"X below min",IF(H178&gt;MIN(5000000,0.75*J178),"X above max","OK"))))</f>
        <v/>
      </c>
      <c r="J178" s="13">
        <f>O177</f>
        <v/>
      </c>
      <c r="K178" s="13">
        <f>IF(J178&lt;=0.005,0,ROUND(J178*Inputs!$C$8,2))</f>
        <v/>
      </c>
      <c r="L178" s="13">
        <f>IF(J178&lt;=0.005,0,MIN(Inputs!$C$7,J178+K178))</f>
        <v/>
      </c>
      <c r="M178" s="13">
        <f>L178-K178</f>
        <v/>
      </c>
      <c r="N178" s="13">
        <f>IF(J178&lt;=0.005,0,MIN(H178,J178-M178))</f>
        <v/>
      </c>
      <c r="O178" s="13">
        <f>ROUND(J178-M178-N178,2)</f>
        <v/>
      </c>
    </row>
    <row r="179">
      <c r="A179" s="11" t="n">
        <v>177</v>
      </c>
      <c r="B179" s="12">
        <f>EDATE(Inputs!$C$6,A179-1)</f>
        <v/>
      </c>
      <c r="C179" s="13">
        <f>G178</f>
        <v/>
      </c>
      <c r="D179" s="13">
        <f>IF(C179&lt;=0.005,0,ROUND(C179*Inputs!$C$8,2))</f>
        <v/>
      </c>
      <c r="E179" s="13">
        <f>IF(C179&lt;=0.005,0,MIN(Inputs!$C$7,C179+D179))</f>
        <v/>
      </c>
      <c r="F179" s="13">
        <f>E179-D179</f>
        <v/>
      </c>
      <c r="G179" s="13">
        <f>ROUND(C179-F179,2)</f>
        <v/>
      </c>
      <c r="H179" s="14" t="n">
        <v>0</v>
      </c>
      <c r="I179" s="11">
        <f>IF(H179=0,"",IF(A179&lt;2,"X not before month 2",IF(H179&lt;MAX(5000,Inputs!$C$7),"X below min",IF(H179&gt;MIN(5000000,0.75*J179),"X above max","OK"))))</f>
        <v/>
      </c>
      <c r="J179" s="13">
        <f>O178</f>
        <v/>
      </c>
      <c r="K179" s="13">
        <f>IF(J179&lt;=0.005,0,ROUND(J179*Inputs!$C$8,2))</f>
        <v/>
      </c>
      <c r="L179" s="13">
        <f>IF(J179&lt;=0.005,0,MIN(Inputs!$C$7,J179+K179))</f>
        <v/>
      </c>
      <c r="M179" s="13">
        <f>L179-K179</f>
        <v/>
      </c>
      <c r="N179" s="13">
        <f>IF(J179&lt;=0.005,0,MIN(H179,J179-M179))</f>
        <v/>
      </c>
      <c r="O179" s="13">
        <f>ROUND(J179-M179-N179,2)</f>
        <v/>
      </c>
    </row>
    <row r="180">
      <c r="A180" s="11" t="n">
        <v>178</v>
      </c>
      <c r="B180" s="12">
        <f>EDATE(Inputs!$C$6,A180-1)</f>
        <v/>
      </c>
      <c r="C180" s="13">
        <f>G179</f>
        <v/>
      </c>
      <c r="D180" s="13">
        <f>IF(C180&lt;=0.005,0,ROUND(C180*Inputs!$C$8,2))</f>
        <v/>
      </c>
      <c r="E180" s="13">
        <f>IF(C180&lt;=0.005,0,MIN(Inputs!$C$7,C180+D180))</f>
        <v/>
      </c>
      <c r="F180" s="13">
        <f>E180-D180</f>
        <v/>
      </c>
      <c r="G180" s="13">
        <f>ROUND(C180-F180,2)</f>
        <v/>
      </c>
      <c r="H180" s="14" t="n">
        <v>0</v>
      </c>
      <c r="I180" s="11">
        <f>IF(H180=0,"",IF(A180&lt;2,"X not before month 2",IF(H180&lt;MAX(5000,Inputs!$C$7),"X below min",IF(H180&gt;MIN(5000000,0.75*J180),"X above max","OK"))))</f>
        <v/>
      </c>
      <c r="J180" s="13">
        <f>O179</f>
        <v/>
      </c>
      <c r="K180" s="13">
        <f>IF(J180&lt;=0.005,0,ROUND(J180*Inputs!$C$8,2))</f>
        <v/>
      </c>
      <c r="L180" s="13">
        <f>IF(J180&lt;=0.005,0,MIN(Inputs!$C$7,J180+K180))</f>
        <v/>
      </c>
      <c r="M180" s="13">
        <f>L180-K180</f>
        <v/>
      </c>
      <c r="N180" s="13">
        <f>IF(J180&lt;=0.005,0,MIN(H180,J180-M180))</f>
        <v/>
      </c>
      <c r="O180" s="13">
        <f>ROUND(J180-M180-N180,2)</f>
        <v/>
      </c>
    </row>
    <row r="181">
      <c r="A181" s="11" t="n">
        <v>179</v>
      </c>
      <c r="B181" s="12">
        <f>EDATE(Inputs!$C$6,A181-1)</f>
        <v/>
      </c>
      <c r="C181" s="13">
        <f>G180</f>
        <v/>
      </c>
      <c r="D181" s="13">
        <f>IF(C181&lt;=0.005,0,ROUND(C181*Inputs!$C$8,2))</f>
        <v/>
      </c>
      <c r="E181" s="13">
        <f>IF(C181&lt;=0.005,0,MIN(Inputs!$C$7,C181+D181))</f>
        <v/>
      </c>
      <c r="F181" s="13">
        <f>E181-D181</f>
        <v/>
      </c>
      <c r="G181" s="13">
        <f>ROUND(C181-F181,2)</f>
        <v/>
      </c>
      <c r="H181" s="14" t="n">
        <v>0</v>
      </c>
      <c r="I181" s="11">
        <f>IF(H181=0,"",IF(A181&lt;2,"X not before month 2",IF(H181&lt;MAX(5000,Inputs!$C$7),"X below min",IF(H181&gt;MIN(5000000,0.75*J181),"X above max","OK"))))</f>
        <v/>
      </c>
      <c r="J181" s="13">
        <f>O180</f>
        <v/>
      </c>
      <c r="K181" s="13">
        <f>IF(J181&lt;=0.005,0,ROUND(J181*Inputs!$C$8,2))</f>
        <v/>
      </c>
      <c r="L181" s="13">
        <f>IF(J181&lt;=0.005,0,MIN(Inputs!$C$7,J181+K181))</f>
        <v/>
      </c>
      <c r="M181" s="13">
        <f>L181-K181</f>
        <v/>
      </c>
      <c r="N181" s="13">
        <f>IF(J181&lt;=0.005,0,MIN(H181,J181-M181))</f>
        <v/>
      </c>
      <c r="O181" s="13">
        <f>ROUND(J181-M181-N181,2)</f>
        <v/>
      </c>
    </row>
    <row r="182">
      <c r="A182" s="11" t="n">
        <v>180</v>
      </c>
      <c r="B182" s="12">
        <f>EDATE(Inputs!$C$6,A182-1)</f>
        <v/>
      </c>
      <c r="C182" s="13">
        <f>G181</f>
        <v/>
      </c>
      <c r="D182" s="13">
        <f>IF(C182&lt;=0.005,0,ROUND(C182*Inputs!$C$8,2))</f>
        <v/>
      </c>
      <c r="E182" s="13">
        <f>IF(C182&lt;=0.005,0,MIN(Inputs!$C$7,C182+D182))</f>
        <v/>
      </c>
      <c r="F182" s="13">
        <f>E182-D182</f>
        <v/>
      </c>
      <c r="G182" s="13">
        <f>ROUND(C182-F182,2)</f>
        <v/>
      </c>
      <c r="H182" s="14" t="n">
        <v>0</v>
      </c>
      <c r="I182" s="11">
        <f>IF(H182=0,"",IF(A182&lt;2,"X not before month 2",IF(H182&lt;MAX(5000,Inputs!$C$7),"X below min",IF(H182&gt;MIN(5000000,0.75*J182),"X above max","OK"))))</f>
        <v/>
      </c>
      <c r="J182" s="13">
        <f>O181</f>
        <v/>
      </c>
      <c r="K182" s="13">
        <f>IF(J182&lt;=0.005,0,ROUND(J182*Inputs!$C$8,2))</f>
        <v/>
      </c>
      <c r="L182" s="13">
        <f>IF(J182&lt;=0.005,0,MIN(Inputs!$C$7,J182+K182))</f>
        <v/>
      </c>
      <c r="M182" s="13">
        <f>L182-K182</f>
        <v/>
      </c>
      <c r="N182" s="13">
        <f>IF(J182&lt;=0.005,0,MIN(H182,J182-M182))</f>
        <v/>
      </c>
      <c r="O182" s="13">
        <f>ROUND(J182-M182-N182,2)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SUMMARY — baseline vs your prepayment plan</t>
        </is>
      </c>
    </row>
    <row r="3">
      <c r="B3" s="2" t="inlineStr">
        <is>
          <t>Loan A</t>
        </is>
      </c>
      <c r="C3" s="2" t="inlineStr">
        <is>
          <t>Loan B</t>
        </is>
      </c>
      <c r="D3" s="2" t="inlineStr">
        <is>
          <t>Combined</t>
        </is>
      </c>
    </row>
    <row r="4">
      <c r="A4" s="2" t="inlineStr">
        <is>
          <t>Outstanding (Rs)</t>
        </is>
      </c>
      <c r="B4" s="15">
        <f>Inputs!B3</f>
        <v/>
      </c>
      <c r="C4" s="15">
        <f>Inputs!C3</f>
        <v/>
      </c>
      <c r="D4" s="15">
        <f>B4+C4</f>
        <v/>
      </c>
    </row>
    <row r="5">
      <c r="A5" s="2" t="inlineStr">
        <is>
          <t>Monthly EMI (Rs)</t>
        </is>
      </c>
      <c r="B5" s="15">
        <f>Inputs!B7</f>
        <v/>
      </c>
      <c r="C5" s="15">
        <f>Inputs!C7</f>
        <v/>
      </c>
      <c r="D5" s="15">
        <f>B5+C5</f>
        <v/>
      </c>
    </row>
    <row r="6">
      <c r="A6" s="2" t="inlineStr">
        <is>
          <t>Baseline total interest (Rs)</t>
        </is>
      </c>
      <c r="B6" s="15">
        <f>SUM(Schedule_A!D3:D182)</f>
        <v/>
      </c>
      <c r="C6" s="15">
        <f>SUM(Schedule_B!D3:D182)</f>
        <v/>
      </c>
      <c r="D6" s="15">
        <f>B6+C6</f>
        <v/>
      </c>
    </row>
    <row r="7">
      <c r="A7" s="2" t="inlineStr">
        <is>
          <t>Plan total interest (Rs)</t>
        </is>
      </c>
      <c r="B7" s="15">
        <f>SUM(Schedule_A!K3:K182)</f>
        <v/>
      </c>
      <c r="C7" s="15">
        <f>SUM(Schedule_B!K3:K182)</f>
        <v/>
      </c>
      <c r="D7" s="15">
        <f>B7+C7</f>
        <v/>
      </c>
    </row>
    <row r="8">
      <c r="A8" s="16" t="inlineStr">
        <is>
          <t>INTEREST SAVED (Rs)</t>
        </is>
      </c>
      <c r="B8" s="17">
        <f>B6-B7</f>
        <v/>
      </c>
      <c r="C8" s="17">
        <f>C6-C7</f>
        <v/>
      </c>
      <c r="D8" s="17">
        <f>B8+C8</f>
        <v/>
      </c>
    </row>
    <row r="9">
      <c r="A9" s="2" t="inlineStr">
        <is>
          <t>Baseline payoff (months)</t>
        </is>
      </c>
      <c r="B9" s="18">
        <f>COUNTIF(Schedule_A!E3:E182,"&gt;0.005")</f>
        <v/>
      </c>
      <c r="C9" s="18">
        <f>COUNTIF(Schedule_B!E3:E182,"&gt;0.005")</f>
        <v/>
      </c>
    </row>
    <row r="10">
      <c r="A10" s="2" t="inlineStr">
        <is>
          <t>Plan payoff (months)</t>
        </is>
      </c>
      <c r="B10" s="18">
        <f>COUNTIF(Schedule_A!L3:L182,"&gt;0.005")</f>
        <v/>
      </c>
      <c r="C10" s="18">
        <f>COUNTIF(Schedule_B!L3:L182,"&gt;0.005")</f>
        <v/>
      </c>
    </row>
    <row r="11">
      <c r="A11" s="16" t="inlineStr">
        <is>
          <t>MONTHS SAVED</t>
        </is>
      </c>
      <c r="B11" s="19">
        <f>B9-B10</f>
        <v/>
      </c>
      <c r="C11" s="19">
        <f>C9-C10</f>
        <v/>
      </c>
    </row>
    <row r="12">
      <c r="A12" s="16" t="inlineStr">
        <is>
          <t>Years saved</t>
        </is>
      </c>
      <c r="B12" s="20">
        <f>B11/12</f>
        <v/>
      </c>
      <c r="C12" s="20">
        <f>C11/12</f>
        <v/>
      </c>
    </row>
    <row r="13">
      <c r="A13" s="2" t="inlineStr">
        <is>
          <t>Baseline payoff date</t>
        </is>
      </c>
      <c r="B13" s="21">
        <f>EDATE(Inputs!B6,B9-1)</f>
        <v/>
      </c>
      <c r="C13" s="21">
        <f>EDATE(Inputs!C6,C9-1)</f>
        <v/>
      </c>
    </row>
    <row r="14">
      <c r="A14" s="2" t="inlineStr">
        <is>
          <t>Plan payoff date</t>
        </is>
      </c>
      <c r="B14" s="21">
        <f>EDATE(Inputs!B6,B10-1)</f>
        <v/>
      </c>
      <c r="C14" s="21">
        <f>EDATE(Inputs!C6,C10-1)</f>
        <v/>
      </c>
    </row>
    <row r="16">
      <c r="A16" s="2" t="inlineStr">
        <is>
          <t>Prepay FIRST:</t>
        </is>
      </c>
      <c r="B16" s="22">
        <f>IF(Inputs!B4&gt;Inputs!C4,"Loan A (higher rate)",IF(Inputs!C4&gt;Inputs!B4,"Loan B (higher rate)",IF(Inputs!B3&gt;=Inputs!C3,"Loan B (larger balance saves more)","Loan A (larger balance saves more)")))</f>
        <v/>
      </c>
    </row>
    <row r="17">
      <c r="A17" s="9" t="inlineStr">
        <is>
          <t>Note: pre-EMI is interest-only and does not change months/interest saved above.</t>
        </is>
      </c>
    </row>
    <row r="18">
      <c r="A18" s="2" t="inlineStr">
        <is>
          <t>Pre-EMI interest (one-time)</t>
        </is>
      </c>
      <c r="B18" s="15">
        <f>Inputs!B9</f>
        <v/>
      </c>
      <c r="C18" s="15">
        <f>Inputs!C9</f>
        <v/>
      </c>
      <c r="D18" s="15">
        <f>B18+C18</f>
        <v/>
      </c>
    </row>
    <row r="19">
      <c r="A19" s="2" t="inlineStr">
        <is>
          <t>Total interest incl. pre-EMI (plan)</t>
        </is>
      </c>
      <c r="B19" s="15">
        <f>B7+B18</f>
        <v/>
      </c>
      <c r="C19" s="15">
        <f>C7+C18</f>
        <v/>
      </c>
      <c r="D19" s="15">
        <f>B19+C19</f>
        <v/>
      </c>
    </row>
  </sheetData>
  <mergeCells count="1"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" customWidth="1" min="7" max="7"/>
  </cols>
  <sheetData>
    <row r="1">
      <c r="A1" s="1" t="inlineStr">
        <is>
          <t>WINDFALL WHAT-IF — one lump sum, which loan saves more?</t>
        </is>
      </c>
    </row>
    <row r="3">
      <c r="A3" s="2" t="inlineStr">
        <is>
          <t>Lump sum (Rs):</t>
        </is>
      </c>
      <c r="B3" s="23" t="n">
        <v>500000</v>
      </c>
    </row>
    <row r="4">
      <c r="A4" s="2" t="inlineStr">
        <is>
          <t>Apply in month #:</t>
        </is>
      </c>
      <c r="B4" s="24" t="n">
        <v>12</v>
      </c>
    </row>
    <row r="6">
      <c r="A6" s="2" t="inlineStr">
        <is>
          <t>Loan A — interest saved (Rs):</t>
        </is>
      </c>
      <c r="B6" s="15">
        <f>SUM(Schedule_A!D3:D182)-SUM(C186:C365)</f>
        <v/>
      </c>
    </row>
    <row r="7">
      <c r="A7" s="2" t="inlineStr">
        <is>
          <t>Loan A — months saved:</t>
        </is>
      </c>
      <c r="B7" s="18">
        <f>COUNTIF(Schedule_A!E3:E182,"&gt;0.005")-COUNTIF(D186:D365,"&gt;0.005")</f>
        <v/>
      </c>
    </row>
    <row r="8">
      <c r="A8" s="2" t="inlineStr">
        <is>
          <t>Loan B — interest saved (Rs):</t>
        </is>
      </c>
      <c r="B8" s="15">
        <f>SUM(Schedule_B!D3:D182)-SUM(J186:J365)</f>
        <v/>
      </c>
    </row>
    <row r="9">
      <c r="A9" s="2" t="inlineStr">
        <is>
          <t>Loan B — months saved:</t>
        </is>
      </c>
      <c r="B9" s="18">
        <f>COUNTIF(Schedule_B!E3:E182,"&gt;0.005")-COUNTIF(K186:K365,"&gt;0.005")</f>
        <v/>
      </c>
    </row>
    <row r="10">
      <c r="A10" s="2" t="inlineStr">
        <is>
          <t>RECOMMENDATION:</t>
        </is>
      </c>
      <c r="B10" s="22">
        <f>IF(B6&gt;B8,"Put it on Loan A (saves more interest)",IF(B8&gt;B6,"Put it on Loan B (saves more interest)","Either — equal saving"))</f>
        <v/>
      </c>
    </row>
    <row r="185">
      <c r="A185" s="10" t="inlineStr">
        <is>
          <t>Month</t>
        </is>
      </c>
      <c r="B185" s="10" t="inlineStr">
        <is>
          <t>Opening</t>
        </is>
      </c>
      <c r="C185" s="10" t="inlineStr">
        <is>
          <t>Interest</t>
        </is>
      </c>
      <c r="D185" s="10" t="inlineStr">
        <is>
          <t>EMI</t>
        </is>
      </c>
      <c r="E185" s="10" t="inlineStr">
        <is>
          <t>Prepay</t>
        </is>
      </c>
      <c r="F185" s="10" t="inlineStr">
        <is>
          <t>Closing</t>
        </is>
      </c>
      <c r="H185" s="10" t="inlineStr">
        <is>
          <t>Month</t>
        </is>
      </c>
      <c r="I185" s="10" t="inlineStr">
        <is>
          <t>Opening</t>
        </is>
      </c>
      <c r="J185" s="10" t="inlineStr">
        <is>
          <t>Interest</t>
        </is>
      </c>
      <c r="K185" s="10" t="inlineStr">
        <is>
          <t>EMI</t>
        </is>
      </c>
      <c r="L185" s="10" t="inlineStr">
        <is>
          <t>Prepay</t>
        </is>
      </c>
      <c r="M185" s="10" t="inlineStr">
        <is>
          <t>Closing</t>
        </is>
      </c>
    </row>
    <row r="186">
      <c r="A186" t="n">
        <v>1</v>
      </c>
      <c r="B186" s="25">
        <f>Inputs!$B$3</f>
        <v/>
      </c>
      <c r="C186" s="25">
        <f>IF(B186&lt;=0.005,0,ROUND(B186*Inputs!$B$8,2))</f>
        <v/>
      </c>
      <c r="D186" s="25">
        <f>IF(B186&lt;=0.005,0,MIN(Inputs!$B$7,B186+C186))</f>
        <v/>
      </c>
      <c r="E186" s="25">
        <f>IF(B186&lt;=0.005,0,IF(A186=$B$4,MIN($B$3,B186-(D186-C186)),0))</f>
        <v/>
      </c>
      <c r="F186" s="25">
        <f>ROUND(B186-(D186-C186)-E186,2)</f>
        <v/>
      </c>
      <c r="H186" t="n">
        <v>1</v>
      </c>
      <c r="I186" s="25">
        <f>Inputs!$C$3</f>
        <v/>
      </c>
      <c r="J186" s="25">
        <f>IF(I186&lt;=0.005,0,ROUND(I186*Inputs!$C$8,2))</f>
        <v/>
      </c>
      <c r="K186" s="25">
        <f>IF(I186&lt;=0.005,0,MIN(Inputs!$C$7,I186+J186))</f>
        <v/>
      </c>
      <c r="L186" s="25">
        <f>IF(I186&lt;=0.005,0,IF(H186=$B$4,MIN($B$3,I186-(K186-J186)),0))</f>
        <v/>
      </c>
      <c r="M186" s="25">
        <f>ROUND(I186-(K186-J186)-L186,2)</f>
        <v/>
      </c>
    </row>
    <row r="187">
      <c r="A187" t="n">
        <v>2</v>
      </c>
      <c r="B187" s="25">
        <f>F186</f>
        <v/>
      </c>
      <c r="C187" s="25">
        <f>IF(B187&lt;=0.005,0,ROUND(B187*Inputs!$B$8,2))</f>
        <v/>
      </c>
      <c r="D187" s="25">
        <f>IF(B187&lt;=0.005,0,MIN(Inputs!$B$7,B187+C187))</f>
        <v/>
      </c>
      <c r="E187" s="25">
        <f>IF(B187&lt;=0.005,0,IF(A187=$B$4,MIN($B$3,B187-(D187-C187)),0))</f>
        <v/>
      </c>
      <c r="F187" s="25">
        <f>ROUND(B187-(D187-C187)-E187,2)</f>
        <v/>
      </c>
      <c r="H187" t="n">
        <v>2</v>
      </c>
      <c r="I187" s="25">
        <f>M186</f>
        <v/>
      </c>
      <c r="J187" s="25">
        <f>IF(I187&lt;=0.005,0,ROUND(I187*Inputs!$C$8,2))</f>
        <v/>
      </c>
      <c r="K187" s="25">
        <f>IF(I187&lt;=0.005,0,MIN(Inputs!$C$7,I187+J187))</f>
        <v/>
      </c>
      <c r="L187" s="25">
        <f>IF(I187&lt;=0.005,0,IF(H187=$B$4,MIN($B$3,I187-(K187-J187)),0))</f>
        <v/>
      </c>
      <c r="M187" s="25">
        <f>ROUND(I187-(K187-J187)-L187,2)</f>
        <v/>
      </c>
    </row>
    <row r="188">
      <c r="A188" t="n">
        <v>3</v>
      </c>
      <c r="B188" s="25">
        <f>F187</f>
        <v/>
      </c>
      <c r="C188" s="25">
        <f>IF(B188&lt;=0.005,0,ROUND(B188*Inputs!$B$8,2))</f>
        <v/>
      </c>
      <c r="D188" s="25">
        <f>IF(B188&lt;=0.005,0,MIN(Inputs!$B$7,B188+C188))</f>
        <v/>
      </c>
      <c r="E188" s="25">
        <f>IF(B188&lt;=0.005,0,IF(A188=$B$4,MIN($B$3,B188-(D188-C188)),0))</f>
        <v/>
      </c>
      <c r="F188" s="25">
        <f>ROUND(B188-(D188-C188)-E188,2)</f>
        <v/>
      </c>
      <c r="H188" t="n">
        <v>3</v>
      </c>
      <c r="I188" s="25">
        <f>M187</f>
        <v/>
      </c>
      <c r="J188" s="25">
        <f>IF(I188&lt;=0.005,0,ROUND(I188*Inputs!$C$8,2))</f>
        <v/>
      </c>
      <c r="K188" s="25">
        <f>IF(I188&lt;=0.005,0,MIN(Inputs!$C$7,I188+J188))</f>
        <v/>
      </c>
      <c r="L188" s="25">
        <f>IF(I188&lt;=0.005,0,IF(H188=$B$4,MIN($B$3,I188-(K188-J188)),0))</f>
        <v/>
      </c>
      <c r="M188" s="25">
        <f>ROUND(I188-(K188-J188)-L188,2)</f>
        <v/>
      </c>
    </row>
    <row r="189">
      <c r="A189" t="n">
        <v>4</v>
      </c>
      <c r="B189" s="25">
        <f>F188</f>
        <v/>
      </c>
      <c r="C189" s="25">
        <f>IF(B189&lt;=0.005,0,ROUND(B189*Inputs!$B$8,2))</f>
        <v/>
      </c>
      <c r="D189" s="25">
        <f>IF(B189&lt;=0.005,0,MIN(Inputs!$B$7,B189+C189))</f>
        <v/>
      </c>
      <c r="E189" s="25">
        <f>IF(B189&lt;=0.005,0,IF(A189=$B$4,MIN($B$3,B189-(D189-C189)),0))</f>
        <v/>
      </c>
      <c r="F189" s="25">
        <f>ROUND(B189-(D189-C189)-E189,2)</f>
        <v/>
      </c>
      <c r="H189" t="n">
        <v>4</v>
      </c>
      <c r="I189" s="25">
        <f>M188</f>
        <v/>
      </c>
      <c r="J189" s="25">
        <f>IF(I189&lt;=0.005,0,ROUND(I189*Inputs!$C$8,2))</f>
        <v/>
      </c>
      <c r="K189" s="25">
        <f>IF(I189&lt;=0.005,0,MIN(Inputs!$C$7,I189+J189))</f>
        <v/>
      </c>
      <c r="L189" s="25">
        <f>IF(I189&lt;=0.005,0,IF(H189=$B$4,MIN($B$3,I189-(K189-J189)),0))</f>
        <v/>
      </c>
      <c r="M189" s="25">
        <f>ROUND(I189-(K189-J189)-L189,2)</f>
        <v/>
      </c>
    </row>
    <row r="190">
      <c r="A190" t="n">
        <v>5</v>
      </c>
      <c r="B190" s="25">
        <f>F189</f>
        <v/>
      </c>
      <c r="C190" s="25">
        <f>IF(B190&lt;=0.005,0,ROUND(B190*Inputs!$B$8,2))</f>
        <v/>
      </c>
      <c r="D190" s="25">
        <f>IF(B190&lt;=0.005,0,MIN(Inputs!$B$7,B190+C190))</f>
        <v/>
      </c>
      <c r="E190" s="25">
        <f>IF(B190&lt;=0.005,0,IF(A190=$B$4,MIN($B$3,B190-(D190-C190)),0))</f>
        <v/>
      </c>
      <c r="F190" s="25">
        <f>ROUND(B190-(D190-C190)-E190,2)</f>
        <v/>
      </c>
      <c r="H190" t="n">
        <v>5</v>
      </c>
      <c r="I190" s="25">
        <f>M189</f>
        <v/>
      </c>
      <c r="J190" s="25">
        <f>IF(I190&lt;=0.005,0,ROUND(I190*Inputs!$C$8,2))</f>
        <v/>
      </c>
      <c r="K190" s="25">
        <f>IF(I190&lt;=0.005,0,MIN(Inputs!$C$7,I190+J190))</f>
        <v/>
      </c>
      <c r="L190" s="25">
        <f>IF(I190&lt;=0.005,0,IF(H190=$B$4,MIN($B$3,I190-(K190-J190)),0))</f>
        <v/>
      </c>
      <c r="M190" s="25">
        <f>ROUND(I190-(K190-J190)-L190,2)</f>
        <v/>
      </c>
    </row>
    <row r="191">
      <c r="A191" t="n">
        <v>6</v>
      </c>
      <c r="B191" s="25">
        <f>F190</f>
        <v/>
      </c>
      <c r="C191" s="25">
        <f>IF(B191&lt;=0.005,0,ROUND(B191*Inputs!$B$8,2))</f>
        <v/>
      </c>
      <c r="D191" s="25">
        <f>IF(B191&lt;=0.005,0,MIN(Inputs!$B$7,B191+C191))</f>
        <v/>
      </c>
      <c r="E191" s="25">
        <f>IF(B191&lt;=0.005,0,IF(A191=$B$4,MIN($B$3,B191-(D191-C191)),0))</f>
        <v/>
      </c>
      <c r="F191" s="25">
        <f>ROUND(B191-(D191-C191)-E191,2)</f>
        <v/>
      </c>
      <c r="H191" t="n">
        <v>6</v>
      </c>
      <c r="I191" s="25">
        <f>M190</f>
        <v/>
      </c>
      <c r="J191" s="25">
        <f>IF(I191&lt;=0.005,0,ROUND(I191*Inputs!$C$8,2))</f>
        <v/>
      </c>
      <c r="K191" s="25">
        <f>IF(I191&lt;=0.005,0,MIN(Inputs!$C$7,I191+J191))</f>
        <v/>
      </c>
      <c r="L191" s="25">
        <f>IF(I191&lt;=0.005,0,IF(H191=$B$4,MIN($B$3,I191-(K191-J191)),0))</f>
        <v/>
      </c>
      <c r="M191" s="25">
        <f>ROUND(I191-(K191-J191)-L191,2)</f>
        <v/>
      </c>
    </row>
    <row r="192">
      <c r="A192" t="n">
        <v>7</v>
      </c>
      <c r="B192" s="25">
        <f>F191</f>
        <v/>
      </c>
      <c r="C192" s="25">
        <f>IF(B192&lt;=0.005,0,ROUND(B192*Inputs!$B$8,2))</f>
        <v/>
      </c>
      <c r="D192" s="25">
        <f>IF(B192&lt;=0.005,0,MIN(Inputs!$B$7,B192+C192))</f>
        <v/>
      </c>
      <c r="E192" s="25">
        <f>IF(B192&lt;=0.005,0,IF(A192=$B$4,MIN($B$3,B192-(D192-C192)),0))</f>
        <v/>
      </c>
      <c r="F192" s="25">
        <f>ROUND(B192-(D192-C192)-E192,2)</f>
        <v/>
      </c>
      <c r="H192" t="n">
        <v>7</v>
      </c>
      <c r="I192" s="25">
        <f>M191</f>
        <v/>
      </c>
      <c r="J192" s="25">
        <f>IF(I192&lt;=0.005,0,ROUND(I192*Inputs!$C$8,2))</f>
        <v/>
      </c>
      <c r="K192" s="25">
        <f>IF(I192&lt;=0.005,0,MIN(Inputs!$C$7,I192+J192))</f>
        <v/>
      </c>
      <c r="L192" s="25">
        <f>IF(I192&lt;=0.005,0,IF(H192=$B$4,MIN($B$3,I192-(K192-J192)),0))</f>
        <v/>
      </c>
      <c r="M192" s="25">
        <f>ROUND(I192-(K192-J192)-L192,2)</f>
        <v/>
      </c>
    </row>
    <row r="193">
      <c r="A193" t="n">
        <v>8</v>
      </c>
      <c r="B193" s="25">
        <f>F192</f>
        <v/>
      </c>
      <c r="C193" s="25">
        <f>IF(B193&lt;=0.005,0,ROUND(B193*Inputs!$B$8,2))</f>
        <v/>
      </c>
      <c r="D193" s="25">
        <f>IF(B193&lt;=0.005,0,MIN(Inputs!$B$7,B193+C193))</f>
        <v/>
      </c>
      <c r="E193" s="25">
        <f>IF(B193&lt;=0.005,0,IF(A193=$B$4,MIN($B$3,B193-(D193-C193)),0))</f>
        <v/>
      </c>
      <c r="F193" s="25">
        <f>ROUND(B193-(D193-C193)-E193,2)</f>
        <v/>
      </c>
      <c r="H193" t="n">
        <v>8</v>
      </c>
      <c r="I193" s="25">
        <f>M192</f>
        <v/>
      </c>
      <c r="J193" s="25">
        <f>IF(I193&lt;=0.005,0,ROUND(I193*Inputs!$C$8,2))</f>
        <v/>
      </c>
      <c r="K193" s="25">
        <f>IF(I193&lt;=0.005,0,MIN(Inputs!$C$7,I193+J193))</f>
        <v/>
      </c>
      <c r="L193" s="25">
        <f>IF(I193&lt;=0.005,0,IF(H193=$B$4,MIN($B$3,I193-(K193-J193)),0))</f>
        <v/>
      </c>
      <c r="M193" s="25">
        <f>ROUND(I193-(K193-J193)-L193,2)</f>
        <v/>
      </c>
    </row>
    <row r="194">
      <c r="A194" t="n">
        <v>9</v>
      </c>
      <c r="B194" s="25">
        <f>F193</f>
        <v/>
      </c>
      <c r="C194" s="25">
        <f>IF(B194&lt;=0.005,0,ROUND(B194*Inputs!$B$8,2))</f>
        <v/>
      </c>
      <c r="D194" s="25">
        <f>IF(B194&lt;=0.005,0,MIN(Inputs!$B$7,B194+C194))</f>
        <v/>
      </c>
      <c r="E194" s="25">
        <f>IF(B194&lt;=0.005,0,IF(A194=$B$4,MIN($B$3,B194-(D194-C194)),0))</f>
        <v/>
      </c>
      <c r="F194" s="25">
        <f>ROUND(B194-(D194-C194)-E194,2)</f>
        <v/>
      </c>
      <c r="H194" t="n">
        <v>9</v>
      </c>
      <c r="I194" s="25">
        <f>M193</f>
        <v/>
      </c>
      <c r="J194" s="25">
        <f>IF(I194&lt;=0.005,0,ROUND(I194*Inputs!$C$8,2))</f>
        <v/>
      </c>
      <c r="K194" s="25">
        <f>IF(I194&lt;=0.005,0,MIN(Inputs!$C$7,I194+J194))</f>
        <v/>
      </c>
      <c r="L194" s="25">
        <f>IF(I194&lt;=0.005,0,IF(H194=$B$4,MIN($B$3,I194-(K194-J194)),0))</f>
        <v/>
      </c>
      <c r="M194" s="25">
        <f>ROUND(I194-(K194-J194)-L194,2)</f>
        <v/>
      </c>
    </row>
    <row r="195">
      <c r="A195" t="n">
        <v>10</v>
      </c>
      <c r="B195" s="25">
        <f>F194</f>
        <v/>
      </c>
      <c r="C195" s="25">
        <f>IF(B195&lt;=0.005,0,ROUND(B195*Inputs!$B$8,2))</f>
        <v/>
      </c>
      <c r="D195" s="25">
        <f>IF(B195&lt;=0.005,0,MIN(Inputs!$B$7,B195+C195))</f>
        <v/>
      </c>
      <c r="E195" s="25">
        <f>IF(B195&lt;=0.005,0,IF(A195=$B$4,MIN($B$3,B195-(D195-C195)),0))</f>
        <v/>
      </c>
      <c r="F195" s="25">
        <f>ROUND(B195-(D195-C195)-E195,2)</f>
        <v/>
      </c>
      <c r="H195" t="n">
        <v>10</v>
      </c>
      <c r="I195" s="25">
        <f>M194</f>
        <v/>
      </c>
      <c r="J195" s="25">
        <f>IF(I195&lt;=0.005,0,ROUND(I195*Inputs!$C$8,2))</f>
        <v/>
      </c>
      <c r="K195" s="25">
        <f>IF(I195&lt;=0.005,0,MIN(Inputs!$C$7,I195+J195))</f>
        <v/>
      </c>
      <c r="L195" s="25">
        <f>IF(I195&lt;=0.005,0,IF(H195=$B$4,MIN($B$3,I195-(K195-J195)),0))</f>
        <v/>
      </c>
      <c r="M195" s="25">
        <f>ROUND(I195-(K195-J195)-L195,2)</f>
        <v/>
      </c>
    </row>
    <row r="196">
      <c r="A196" t="n">
        <v>11</v>
      </c>
      <c r="B196" s="25">
        <f>F195</f>
        <v/>
      </c>
      <c r="C196" s="25">
        <f>IF(B196&lt;=0.005,0,ROUND(B196*Inputs!$B$8,2))</f>
        <v/>
      </c>
      <c r="D196" s="25">
        <f>IF(B196&lt;=0.005,0,MIN(Inputs!$B$7,B196+C196))</f>
        <v/>
      </c>
      <c r="E196" s="25">
        <f>IF(B196&lt;=0.005,0,IF(A196=$B$4,MIN($B$3,B196-(D196-C196)),0))</f>
        <v/>
      </c>
      <c r="F196" s="25">
        <f>ROUND(B196-(D196-C196)-E196,2)</f>
        <v/>
      </c>
      <c r="H196" t="n">
        <v>11</v>
      </c>
      <c r="I196" s="25">
        <f>M195</f>
        <v/>
      </c>
      <c r="J196" s="25">
        <f>IF(I196&lt;=0.005,0,ROUND(I196*Inputs!$C$8,2))</f>
        <v/>
      </c>
      <c r="K196" s="25">
        <f>IF(I196&lt;=0.005,0,MIN(Inputs!$C$7,I196+J196))</f>
        <v/>
      </c>
      <c r="L196" s="25">
        <f>IF(I196&lt;=0.005,0,IF(H196=$B$4,MIN($B$3,I196-(K196-J196)),0))</f>
        <v/>
      </c>
      <c r="M196" s="25">
        <f>ROUND(I196-(K196-J196)-L196,2)</f>
        <v/>
      </c>
    </row>
    <row r="197">
      <c r="A197" t="n">
        <v>12</v>
      </c>
      <c r="B197" s="25">
        <f>F196</f>
        <v/>
      </c>
      <c r="C197" s="25">
        <f>IF(B197&lt;=0.005,0,ROUND(B197*Inputs!$B$8,2))</f>
        <v/>
      </c>
      <c r="D197" s="25">
        <f>IF(B197&lt;=0.005,0,MIN(Inputs!$B$7,B197+C197))</f>
        <v/>
      </c>
      <c r="E197" s="25">
        <f>IF(B197&lt;=0.005,0,IF(A197=$B$4,MIN($B$3,B197-(D197-C197)),0))</f>
        <v/>
      </c>
      <c r="F197" s="25">
        <f>ROUND(B197-(D197-C197)-E197,2)</f>
        <v/>
      </c>
      <c r="H197" t="n">
        <v>12</v>
      </c>
      <c r="I197" s="25">
        <f>M196</f>
        <v/>
      </c>
      <c r="J197" s="25">
        <f>IF(I197&lt;=0.005,0,ROUND(I197*Inputs!$C$8,2))</f>
        <v/>
      </c>
      <c r="K197" s="25">
        <f>IF(I197&lt;=0.005,0,MIN(Inputs!$C$7,I197+J197))</f>
        <v/>
      </c>
      <c r="L197" s="25">
        <f>IF(I197&lt;=0.005,0,IF(H197=$B$4,MIN($B$3,I197-(K197-J197)),0))</f>
        <v/>
      </c>
      <c r="M197" s="25">
        <f>ROUND(I197-(K197-J197)-L197,2)</f>
        <v/>
      </c>
    </row>
    <row r="198">
      <c r="A198" t="n">
        <v>13</v>
      </c>
      <c r="B198" s="25">
        <f>F197</f>
        <v/>
      </c>
      <c r="C198" s="25">
        <f>IF(B198&lt;=0.005,0,ROUND(B198*Inputs!$B$8,2))</f>
        <v/>
      </c>
      <c r="D198" s="25">
        <f>IF(B198&lt;=0.005,0,MIN(Inputs!$B$7,B198+C198))</f>
        <v/>
      </c>
      <c r="E198" s="25">
        <f>IF(B198&lt;=0.005,0,IF(A198=$B$4,MIN($B$3,B198-(D198-C198)),0))</f>
        <v/>
      </c>
      <c r="F198" s="25">
        <f>ROUND(B198-(D198-C198)-E198,2)</f>
        <v/>
      </c>
      <c r="H198" t="n">
        <v>13</v>
      </c>
      <c r="I198" s="25">
        <f>M197</f>
        <v/>
      </c>
      <c r="J198" s="25">
        <f>IF(I198&lt;=0.005,0,ROUND(I198*Inputs!$C$8,2))</f>
        <v/>
      </c>
      <c r="K198" s="25">
        <f>IF(I198&lt;=0.005,0,MIN(Inputs!$C$7,I198+J198))</f>
        <v/>
      </c>
      <c r="L198" s="25">
        <f>IF(I198&lt;=0.005,0,IF(H198=$B$4,MIN($B$3,I198-(K198-J198)),0))</f>
        <v/>
      </c>
      <c r="M198" s="25">
        <f>ROUND(I198-(K198-J198)-L198,2)</f>
        <v/>
      </c>
    </row>
    <row r="199">
      <c r="A199" t="n">
        <v>14</v>
      </c>
      <c r="B199" s="25">
        <f>F198</f>
        <v/>
      </c>
      <c r="C199" s="25">
        <f>IF(B199&lt;=0.005,0,ROUND(B199*Inputs!$B$8,2))</f>
        <v/>
      </c>
      <c r="D199" s="25">
        <f>IF(B199&lt;=0.005,0,MIN(Inputs!$B$7,B199+C199))</f>
        <v/>
      </c>
      <c r="E199" s="25">
        <f>IF(B199&lt;=0.005,0,IF(A199=$B$4,MIN($B$3,B199-(D199-C199)),0))</f>
        <v/>
      </c>
      <c r="F199" s="25">
        <f>ROUND(B199-(D199-C199)-E199,2)</f>
        <v/>
      </c>
      <c r="H199" t="n">
        <v>14</v>
      </c>
      <c r="I199" s="25">
        <f>M198</f>
        <v/>
      </c>
      <c r="J199" s="25">
        <f>IF(I199&lt;=0.005,0,ROUND(I199*Inputs!$C$8,2))</f>
        <v/>
      </c>
      <c r="K199" s="25">
        <f>IF(I199&lt;=0.005,0,MIN(Inputs!$C$7,I199+J199))</f>
        <v/>
      </c>
      <c r="L199" s="25">
        <f>IF(I199&lt;=0.005,0,IF(H199=$B$4,MIN($B$3,I199-(K199-J199)),0))</f>
        <v/>
      </c>
      <c r="M199" s="25">
        <f>ROUND(I199-(K199-J199)-L199,2)</f>
        <v/>
      </c>
    </row>
    <row r="200">
      <c r="A200" t="n">
        <v>15</v>
      </c>
      <c r="B200" s="25">
        <f>F199</f>
        <v/>
      </c>
      <c r="C200" s="25">
        <f>IF(B200&lt;=0.005,0,ROUND(B200*Inputs!$B$8,2))</f>
        <v/>
      </c>
      <c r="D200" s="25">
        <f>IF(B200&lt;=0.005,0,MIN(Inputs!$B$7,B200+C200))</f>
        <v/>
      </c>
      <c r="E200" s="25">
        <f>IF(B200&lt;=0.005,0,IF(A200=$B$4,MIN($B$3,B200-(D200-C200)),0))</f>
        <v/>
      </c>
      <c r="F200" s="25">
        <f>ROUND(B200-(D200-C200)-E200,2)</f>
        <v/>
      </c>
      <c r="H200" t="n">
        <v>15</v>
      </c>
      <c r="I200" s="25">
        <f>M199</f>
        <v/>
      </c>
      <c r="J200" s="25">
        <f>IF(I200&lt;=0.005,0,ROUND(I200*Inputs!$C$8,2))</f>
        <v/>
      </c>
      <c r="K200" s="25">
        <f>IF(I200&lt;=0.005,0,MIN(Inputs!$C$7,I200+J200))</f>
        <v/>
      </c>
      <c r="L200" s="25">
        <f>IF(I200&lt;=0.005,0,IF(H200=$B$4,MIN($B$3,I200-(K200-J200)),0))</f>
        <v/>
      </c>
      <c r="M200" s="25">
        <f>ROUND(I200-(K200-J200)-L200,2)</f>
        <v/>
      </c>
    </row>
    <row r="201">
      <c r="A201" t="n">
        <v>16</v>
      </c>
      <c r="B201" s="25">
        <f>F200</f>
        <v/>
      </c>
      <c r="C201" s="25">
        <f>IF(B201&lt;=0.005,0,ROUND(B201*Inputs!$B$8,2))</f>
        <v/>
      </c>
      <c r="D201" s="25">
        <f>IF(B201&lt;=0.005,0,MIN(Inputs!$B$7,B201+C201))</f>
        <v/>
      </c>
      <c r="E201" s="25">
        <f>IF(B201&lt;=0.005,0,IF(A201=$B$4,MIN($B$3,B201-(D201-C201)),0))</f>
        <v/>
      </c>
      <c r="F201" s="25">
        <f>ROUND(B201-(D201-C201)-E201,2)</f>
        <v/>
      </c>
      <c r="H201" t="n">
        <v>16</v>
      </c>
      <c r="I201" s="25">
        <f>M200</f>
        <v/>
      </c>
      <c r="J201" s="25">
        <f>IF(I201&lt;=0.005,0,ROUND(I201*Inputs!$C$8,2))</f>
        <v/>
      </c>
      <c r="K201" s="25">
        <f>IF(I201&lt;=0.005,0,MIN(Inputs!$C$7,I201+J201))</f>
        <v/>
      </c>
      <c r="L201" s="25">
        <f>IF(I201&lt;=0.005,0,IF(H201=$B$4,MIN($B$3,I201-(K201-J201)),0))</f>
        <v/>
      </c>
      <c r="M201" s="25">
        <f>ROUND(I201-(K201-J201)-L201,2)</f>
        <v/>
      </c>
    </row>
    <row r="202">
      <c r="A202" t="n">
        <v>17</v>
      </c>
      <c r="B202" s="25">
        <f>F201</f>
        <v/>
      </c>
      <c r="C202" s="25">
        <f>IF(B202&lt;=0.005,0,ROUND(B202*Inputs!$B$8,2))</f>
        <v/>
      </c>
      <c r="D202" s="25">
        <f>IF(B202&lt;=0.005,0,MIN(Inputs!$B$7,B202+C202))</f>
        <v/>
      </c>
      <c r="E202" s="25">
        <f>IF(B202&lt;=0.005,0,IF(A202=$B$4,MIN($B$3,B202-(D202-C202)),0))</f>
        <v/>
      </c>
      <c r="F202" s="25">
        <f>ROUND(B202-(D202-C202)-E202,2)</f>
        <v/>
      </c>
      <c r="H202" t="n">
        <v>17</v>
      </c>
      <c r="I202" s="25">
        <f>M201</f>
        <v/>
      </c>
      <c r="J202" s="25">
        <f>IF(I202&lt;=0.005,0,ROUND(I202*Inputs!$C$8,2))</f>
        <v/>
      </c>
      <c r="K202" s="25">
        <f>IF(I202&lt;=0.005,0,MIN(Inputs!$C$7,I202+J202))</f>
        <v/>
      </c>
      <c r="L202" s="25">
        <f>IF(I202&lt;=0.005,0,IF(H202=$B$4,MIN($B$3,I202-(K202-J202)),0))</f>
        <v/>
      </c>
      <c r="M202" s="25">
        <f>ROUND(I202-(K202-J202)-L202,2)</f>
        <v/>
      </c>
    </row>
    <row r="203">
      <c r="A203" t="n">
        <v>18</v>
      </c>
      <c r="B203" s="25">
        <f>F202</f>
        <v/>
      </c>
      <c r="C203" s="25">
        <f>IF(B203&lt;=0.005,0,ROUND(B203*Inputs!$B$8,2))</f>
        <v/>
      </c>
      <c r="D203" s="25">
        <f>IF(B203&lt;=0.005,0,MIN(Inputs!$B$7,B203+C203))</f>
        <v/>
      </c>
      <c r="E203" s="25">
        <f>IF(B203&lt;=0.005,0,IF(A203=$B$4,MIN($B$3,B203-(D203-C203)),0))</f>
        <v/>
      </c>
      <c r="F203" s="25">
        <f>ROUND(B203-(D203-C203)-E203,2)</f>
        <v/>
      </c>
      <c r="H203" t="n">
        <v>18</v>
      </c>
      <c r="I203" s="25">
        <f>M202</f>
        <v/>
      </c>
      <c r="J203" s="25">
        <f>IF(I203&lt;=0.005,0,ROUND(I203*Inputs!$C$8,2))</f>
        <v/>
      </c>
      <c r="K203" s="25">
        <f>IF(I203&lt;=0.005,0,MIN(Inputs!$C$7,I203+J203))</f>
        <v/>
      </c>
      <c r="L203" s="25">
        <f>IF(I203&lt;=0.005,0,IF(H203=$B$4,MIN($B$3,I203-(K203-J203)),0))</f>
        <v/>
      </c>
      <c r="M203" s="25">
        <f>ROUND(I203-(K203-J203)-L203,2)</f>
        <v/>
      </c>
    </row>
    <row r="204">
      <c r="A204" t="n">
        <v>19</v>
      </c>
      <c r="B204" s="25">
        <f>F203</f>
        <v/>
      </c>
      <c r="C204" s="25">
        <f>IF(B204&lt;=0.005,0,ROUND(B204*Inputs!$B$8,2))</f>
        <v/>
      </c>
      <c r="D204" s="25">
        <f>IF(B204&lt;=0.005,0,MIN(Inputs!$B$7,B204+C204))</f>
        <v/>
      </c>
      <c r="E204" s="25">
        <f>IF(B204&lt;=0.005,0,IF(A204=$B$4,MIN($B$3,B204-(D204-C204)),0))</f>
        <v/>
      </c>
      <c r="F204" s="25">
        <f>ROUND(B204-(D204-C204)-E204,2)</f>
        <v/>
      </c>
      <c r="H204" t="n">
        <v>19</v>
      </c>
      <c r="I204" s="25">
        <f>M203</f>
        <v/>
      </c>
      <c r="J204" s="25">
        <f>IF(I204&lt;=0.005,0,ROUND(I204*Inputs!$C$8,2))</f>
        <v/>
      </c>
      <c r="K204" s="25">
        <f>IF(I204&lt;=0.005,0,MIN(Inputs!$C$7,I204+J204))</f>
        <v/>
      </c>
      <c r="L204" s="25">
        <f>IF(I204&lt;=0.005,0,IF(H204=$B$4,MIN($B$3,I204-(K204-J204)),0))</f>
        <v/>
      </c>
      <c r="M204" s="25">
        <f>ROUND(I204-(K204-J204)-L204,2)</f>
        <v/>
      </c>
    </row>
    <row r="205">
      <c r="A205" t="n">
        <v>20</v>
      </c>
      <c r="B205" s="25">
        <f>F204</f>
        <v/>
      </c>
      <c r="C205" s="25">
        <f>IF(B205&lt;=0.005,0,ROUND(B205*Inputs!$B$8,2))</f>
        <v/>
      </c>
      <c r="D205" s="25">
        <f>IF(B205&lt;=0.005,0,MIN(Inputs!$B$7,B205+C205))</f>
        <v/>
      </c>
      <c r="E205" s="25">
        <f>IF(B205&lt;=0.005,0,IF(A205=$B$4,MIN($B$3,B205-(D205-C205)),0))</f>
        <v/>
      </c>
      <c r="F205" s="25">
        <f>ROUND(B205-(D205-C205)-E205,2)</f>
        <v/>
      </c>
      <c r="H205" t="n">
        <v>20</v>
      </c>
      <c r="I205" s="25">
        <f>M204</f>
        <v/>
      </c>
      <c r="J205" s="25">
        <f>IF(I205&lt;=0.005,0,ROUND(I205*Inputs!$C$8,2))</f>
        <v/>
      </c>
      <c r="K205" s="25">
        <f>IF(I205&lt;=0.005,0,MIN(Inputs!$C$7,I205+J205))</f>
        <v/>
      </c>
      <c r="L205" s="25">
        <f>IF(I205&lt;=0.005,0,IF(H205=$B$4,MIN($B$3,I205-(K205-J205)),0))</f>
        <v/>
      </c>
      <c r="M205" s="25">
        <f>ROUND(I205-(K205-J205)-L205,2)</f>
        <v/>
      </c>
    </row>
    <row r="206">
      <c r="A206" t="n">
        <v>21</v>
      </c>
      <c r="B206" s="25">
        <f>F205</f>
        <v/>
      </c>
      <c r="C206" s="25">
        <f>IF(B206&lt;=0.005,0,ROUND(B206*Inputs!$B$8,2))</f>
        <v/>
      </c>
      <c r="D206" s="25">
        <f>IF(B206&lt;=0.005,0,MIN(Inputs!$B$7,B206+C206))</f>
        <v/>
      </c>
      <c r="E206" s="25">
        <f>IF(B206&lt;=0.005,0,IF(A206=$B$4,MIN($B$3,B206-(D206-C206)),0))</f>
        <v/>
      </c>
      <c r="F206" s="25">
        <f>ROUND(B206-(D206-C206)-E206,2)</f>
        <v/>
      </c>
      <c r="H206" t="n">
        <v>21</v>
      </c>
      <c r="I206" s="25">
        <f>M205</f>
        <v/>
      </c>
      <c r="J206" s="25">
        <f>IF(I206&lt;=0.005,0,ROUND(I206*Inputs!$C$8,2))</f>
        <v/>
      </c>
      <c r="K206" s="25">
        <f>IF(I206&lt;=0.005,0,MIN(Inputs!$C$7,I206+J206))</f>
        <v/>
      </c>
      <c r="L206" s="25">
        <f>IF(I206&lt;=0.005,0,IF(H206=$B$4,MIN($B$3,I206-(K206-J206)),0))</f>
        <v/>
      </c>
      <c r="M206" s="25">
        <f>ROUND(I206-(K206-J206)-L206,2)</f>
        <v/>
      </c>
    </row>
    <row r="207">
      <c r="A207" t="n">
        <v>22</v>
      </c>
      <c r="B207" s="25">
        <f>F206</f>
        <v/>
      </c>
      <c r="C207" s="25">
        <f>IF(B207&lt;=0.005,0,ROUND(B207*Inputs!$B$8,2))</f>
        <v/>
      </c>
      <c r="D207" s="25">
        <f>IF(B207&lt;=0.005,0,MIN(Inputs!$B$7,B207+C207))</f>
        <v/>
      </c>
      <c r="E207" s="25">
        <f>IF(B207&lt;=0.005,0,IF(A207=$B$4,MIN($B$3,B207-(D207-C207)),0))</f>
        <v/>
      </c>
      <c r="F207" s="25">
        <f>ROUND(B207-(D207-C207)-E207,2)</f>
        <v/>
      </c>
      <c r="H207" t="n">
        <v>22</v>
      </c>
      <c r="I207" s="25">
        <f>M206</f>
        <v/>
      </c>
      <c r="J207" s="25">
        <f>IF(I207&lt;=0.005,0,ROUND(I207*Inputs!$C$8,2))</f>
        <v/>
      </c>
      <c r="K207" s="25">
        <f>IF(I207&lt;=0.005,0,MIN(Inputs!$C$7,I207+J207))</f>
        <v/>
      </c>
      <c r="L207" s="25">
        <f>IF(I207&lt;=0.005,0,IF(H207=$B$4,MIN($B$3,I207-(K207-J207)),0))</f>
        <v/>
      </c>
      <c r="M207" s="25">
        <f>ROUND(I207-(K207-J207)-L207,2)</f>
        <v/>
      </c>
    </row>
    <row r="208">
      <c r="A208" t="n">
        <v>23</v>
      </c>
      <c r="B208" s="25">
        <f>F207</f>
        <v/>
      </c>
      <c r="C208" s="25">
        <f>IF(B208&lt;=0.005,0,ROUND(B208*Inputs!$B$8,2))</f>
        <v/>
      </c>
      <c r="D208" s="25">
        <f>IF(B208&lt;=0.005,0,MIN(Inputs!$B$7,B208+C208))</f>
        <v/>
      </c>
      <c r="E208" s="25">
        <f>IF(B208&lt;=0.005,0,IF(A208=$B$4,MIN($B$3,B208-(D208-C208)),0))</f>
        <v/>
      </c>
      <c r="F208" s="25">
        <f>ROUND(B208-(D208-C208)-E208,2)</f>
        <v/>
      </c>
      <c r="H208" t="n">
        <v>23</v>
      </c>
      <c r="I208" s="25">
        <f>M207</f>
        <v/>
      </c>
      <c r="J208" s="25">
        <f>IF(I208&lt;=0.005,0,ROUND(I208*Inputs!$C$8,2))</f>
        <v/>
      </c>
      <c r="K208" s="25">
        <f>IF(I208&lt;=0.005,0,MIN(Inputs!$C$7,I208+J208))</f>
        <v/>
      </c>
      <c r="L208" s="25">
        <f>IF(I208&lt;=0.005,0,IF(H208=$B$4,MIN($B$3,I208-(K208-J208)),0))</f>
        <v/>
      </c>
      <c r="M208" s="25">
        <f>ROUND(I208-(K208-J208)-L208,2)</f>
        <v/>
      </c>
    </row>
    <row r="209">
      <c r="A209" t="n">
        <v>24</v>
      </c>
      <c r="B209" s="25">
        <f>F208</f>
        <v/>
      </c>
      <c r="C209" s="25">
        <f>IF(B209&lt;=0.005,0,ROUND(B209*Inputs!$B$8,2))</f>
        <v/>
      </c>
      <c r="D209" s="25">
        <f>IF(B209&lt;=0.005,0,MIN(Inputs!$B$7,B209+C209))</f>
        <v/>
      </c>
      <c r="E209" s="25">
        <f>IF(B209&lt;=0.005,0,IF(A209=$B$4,MIN($B$3,B209-(D209-C209)),0))</f>
        <v/>
      </c>
      <c r="F209" s="25">
        <f>ROUND(B209-(D209-C209)-E209,2)</f>
        <v/>
      </c>
      <c r="H209" t="n">
        <v>24</v>
      </c>
      <c r="I209" s="25">
        <f>M208</f>
        <v/>
      </c>
      <c r="J209" s="25">
        <f>IF(I209&lt;=0.005,0,ROUND(I209*Inputs!$C$8,2))</f>
        <v/>
      </c>
      <c r="K209" s="25">
        <f>IF(I209&lt;=0.005,0,MIN(Inputs!$C$7,I209+J209))</f>
        <v/>
      </c>
      <c r="L209" s="25">
        <f>IF(I209&lt;=0.005,0,IF(H209=$B$4,MIN($B$3,I209-(K209-J209)),0))</f>
        <v/>
      </c>
      <c r="M209" s="25">
        <f>ROUND(I209-(K209-J209)-L209,2)</f>
        <v/>
      </c>
    </row>
    <row r="210">
      <c r="A210" t="n">
        <v>25</v>
      </c>
      <c r="B210" s="25">
        <f>F209</f>
        <v/>
      </c>
      <c r="C210" s="25">
        <f>IF(B210&lt;=0.005,0,ROUND(B210*Inputs!$B$8,2))</f>
        <v/>
      </c>
      <c r="D210" s="25">
        <f>IF(B210&lt;=0.005,0,MIN(Inputs!$B$7,B210+C210))</f>
        <v/>
      </c>
      <c r="E210" s="25">
        <f>IF(B210&lt;=0.005,0,IF(A210=$B$4,MIN($B$3,B210-(D210-C210)),0))</f>
        <v/>
      </c>
      <c r="F210" s="25">
        <f>ROUND(B210-(D210-C210)-E210,2)</f>
        <v/>
      </c>
      <c r="H210" t="n">
        <v>25</v>
      </c>
      <c r="I210" s="25">
        <f>M209</f>
        <v/>
      </c>
      <c r="J210" s="25">
        <f>IF(I210&lt;=0.005,0,ROUND(I210*Inputs!$C$8,2))</f>
        <v/>
      </c>
      <c r="K210" s="25">
        <f>IF(I210&lt;=0.005,0,MIN(Inputs!$C$7,I210+J210))</f>
        <v/>
      </c>
      <c r="L210" s="25">
        <f>IF(I210&lt;=0.005,0,IF(H210=$B$4,MIN($B$3,I210-(K210-J210)),0))</f>
        <v/>
      </c>
      <c r="M210" s="25">
        <f>ROUND(I210-(K210-J210)-L210,2)</f>
        <v/>
      </c>
    </row>
    <row r="211">
      <c r="A211" t="n">
        <v>26</v>
      </c>
      <c r="B211" s="25">
        <f>F210</f>
        <v/>
      </c>
      <c r="C211" s="25">
        <f>IF(B211&lt;=0.005,0,ROUND(B211*Inputs!$B$8,2))</f>
        <v/>
      </c>
      <c r="D211" s="25">
        <f>IF(B211&lt;=0.005,0,MIN(Inputs!$B$7,B211+C211))</f>
        <v/>
      </c>
      <c r="E211" s="25">
        <f>IF(B211&lt;=0.005,0,IF(A211=$B$4,MIN($B$3,B211-(D211-C211)),0))</f>
        <v/>
      </c>
      <c r="F211" s="25">
        <f>ROUND(B211-(D211-C211)-E211,2)</f>
        <v/>
      </c>
      <c r="H211" t="n">
        <v>26</v>
      </c>
      <c r="I211" s="25">
        <f>M210</f>
        <v/>
      </c>
      <c r="J211" s="25">
        <f>IF(I211&lt;=0.005,0,ROUND(I211*Inputs!$C$8,2))</f>
        <v/>
      </c>
      <c r="K211" s="25">
        <f>IF(I211&lt;=0.005,0,MIN(Inputs!$C$7,I211+J211))</f>
        <v/>
      </c>
      <c r="L211" s="25">
        <f>IF(I211&lt;=0.005,0,IF(H211=$B$4,MIN($B$3,I211-(K211-J211)),0))</f>
        <v/>
      </c>
      <c r="M211" s="25">
        <f>ROUND(I211-(K211-J211)-L211,2)</f>
        <v/>
      </c>
    </row>
    <row r="212">
      <c r="A212" t="n">
        <v>27</v>
      </c>
      <c r="B212" s="25">
        <f>F211</f>
        <v/>
      </c>
      <c r="C212" s="25">
        <f>IF(B212&lt;=0.005,0,ROUND(B212*Inputs!$B$8,2))</f>
        <v/>
      </c>
      <c r="D212" s="25">
        <f>IF(B212&lt;=0.005,0,MIN(Inputs!$B$7,B212+C212))</f>
        <v/>
      </c>
      <c r="E212" s="25">
        <f>IF(B212&lt;=0.005,0,IF(A212=$B$4,MIN($B$3,B212-(D212-C212)),0))</f>
        <v/>
      </c>
      <c r="F212" s="25">
        <f>ROUND(B212-(D212-C212)-E212,2)</f>
        <v/>
      </c>
      <c r="H212" t="n">
        <v>27</v>
      </c>
      <c r="I212" s="25">
        <f>M211</f>
        <v/>
      </c>
      <c r="J212" s="25">
        <f>IF(I212&lt;=0.005,0,ROUND(I212*Inputs!$C$8,2))</f>
        <v/>
      </c>
      <c r="K212" s="25">
        <f>IF(I212&lt;=0.005,0,MIN(Inputs!$C$7,I212+J212))</f>
        <v/>
      </c>
      <c r="L212" s="25">
        <f>IF(I212&lt;=0.005,0,IF(H212=$B$4,MIN($B$3,I212-(K212-J212)),0))</f>
        <v/>
      </c>
      <c r="M212" s="25">
        <f>ROUND(I212-(K212-J212)-L212,2)</f>
        <v/>
      </c>
    </row>
    <row r="213">
      <c r="A213" t="n">
        <v>28</v>
      </c>
      <c r="B213" s="25">
        <f>F212</f>
        <v/>
      </c>
      <c r="C213" s="25">
        <f>IF(B213&lt;=0.005,0,ROUND(B213*Inputs!$B$8,2))</f>
        <v/>
      </c>
      <c r="D213" s="25">
        <f>IF(B213&lt;=0.005,0,MIN(Inputs!$B$7,B213+C213))</f>
        <v/>
      </c>
      <c r="E213" s="25">
        <f>IF(B213&lt;=0.005,0,IF(A213=$B$4,MIN($B$3,B213-(D213-C213)),0))</f>
        <v/>
      </c>
      <c r="F213" s="25">
        <f>ROUND(B213-(D213-C213)-E213,2)</f>
        <v/>
      </c>
      <c r="H213" t="n">
        <v>28</v>
      </c>
      <c r="I213" s="25">
        <f>M212</f>
        <v/>
      </c>
      <c r="J213" s="25">
        <f>IF(I213&lt;=0.005,0,ROUND(I213*Inputs!$C$8,2))</f>
        <v/>
      </c>
      <c r="K213" s="25">
        <f>IF(I213&lt;=0.005,0,MIN(Inputs!$C$7,I213+J213))</f>
        <v/>
      </c>
      <c r="L213" s="25">
        <f>IF(I213&lt;=0.005,0,IF(H213=$B$4,MIN($B$3,I213-(K213-J213)),0))</f>
        <v/>
      </c>
      <c r="M213" s="25">
        <f>ROUND(I213-(K213-J213)-L213,2)</f>
        <v/>
      </c>
    </row>
    <row r="214">
      <c r="A214" t="n">
        <v>29</v>
      </c>
      <c r="B214" s="25">
        <f>F213</f>
        <v/>
      </c>
      <c r="C214" s="25">
        <f>IF(B214&lt;=0.005,0,ROUND(B214*Inputs!$B$8,2))</f>
        <v/>
      </c>
      <c r="D214" s="25">
        <f>IF(B214&lt;=0.005,0,MIN(Inputs!$B$7,B214+C214))</f>
        <v/>
      </c>
      <c r="E214" s="25">
        <f>IF(B214&lt;=0.005,0,IF(A214=$B$4,MIN($B$3,B214-(D214-C214)),0))</f>
        <v/>
      </c>
      <c r="F214" s="25">
        <f>ROUND(B214-(D214-C214)-E214,2)</f>
        <v/>
      </c>
      <c r="H214" t="n">
        <v>29</v>
      </c>
      <c r="I214" s="25">
        <f>M213</f>
        <v/>
      </c>
      <c r="J214" s="25">
        <f>IF(I214&lt;=0.005,0,ROUND(I214*Inputs!$C$8,2))</f>
        <v/>
      </c>
      <c r="K214" s="25">
        <f>IF(I214&lt;=0.005,0,MIN(Inputs!$C$7,I214+J214))</f>
        <v/>
      </c>
      <c r="L214" s="25">
        <f>IF(I214&lt;=0.005,0,IF(H214=$B$4,MIN($B$3,I214-(K214-J214)),0))</f>
        <v/>
      </c>
      <c r="M214" s="25">
        <f>ROUND(I214-(K214-J214)-L214,2)</f>
        <v/>
      </c>
    </row>
    <row r="215">
      <c r="A215" t="n">
        <v>30</v>
      </c>
      <c r="B215" s="25">
        <f>F214</f>
        <v/>
      </c>
      <c r="C215" s="25">
        <f>IF(B215&lt;=0.005,0,ROUND(B215*Inputs!$B$8,2))</f>
        <v/>
      </c>
      <c r="D215" s="25">
        <f>IF(B215&lt;=0.005,0,MIN(Inputs!$B$7,B215+C215))</f>
        <v/>
      </c>
      <c r="E215" s="25">
        <f>IF(B215&lt;=0.005,0,IF(A215=$B$4,MIN($B$3,B215-(D215-C215)),0))</f>
        <v/>
      </c>
      <c r="F215" s="25">
        <f>ROUND(B215-(D215-C215)-E215,2)</f>
        <v/>
      </c>
      <c r="H215" t="n">
        <v>30</v>
      </c>
      <c r="I215" s="25">
        <f>M214</f>
        <v/>
      </c>
      <c r="J215" s="25">
        <f>IF(I215&lt;=0.005,0,ROUND(I215*Inputs!$C$8,2))</f>
        <v/>
      </c>
      <c r="K215" s="25">
        <f>IF(I215&lt;=0.005,0,MIN(Inputs!$C$7,I215+J215))</f>
        <v/>
      </c>
      <c r="L215" s="25">
        <f>IF(I215&lt;=0.005,0,IF(H215=$B$4,MIN($B$3,I215-(K215-J215)),0))</f>
        <v/>
      </c>
      <c r="M215" s="25">
        <f>ROUND(I215-(K215-J215)-L215,2)</f>
        <v/>
      </c>
    </row>
    <row r="216">
      <c r="A216" t="n">
        <v>31</v>
      </c>
      <c r="B216" s="25">
        <f>F215</f>
        <v/>
      </c>
      <c r="C216" s="25">
        <f>IF(B216&lt;=0.005,0,ROUND(B216*Inputs!$B$8,2))</f>
        <v/>
      </c>
      <c r="D216" s="25">
        <f>IF(B216&lt;=0.005,0,MIN(Inputs!$B$7,B216+C216))</f>
        <v/>
      </c>
      <c r="E216" s="25">
        <f>IF(B216&lt;=0.005,0,IF(A216=$B$4,MIN($B$3,B216-(D216-C216)),0))</f>
        <v/>
      </c>
      <c r="F216" s="25">
        <f>ROUND(B216-(D216-C216)-E216,2)</f>
        <v/>
      </c>
      <c r="H216" t="n">
        <v>31</v>
      </c>
      <c r="I216" s="25">
        <f>M215</f>
        <v/>
      </c>
      <c r="J216" s="25">
        <f>IF(I216&lt;=0.005,0,ROUND(I216*Inputs!$C$8,2))</f>
        <v/>
      </c>
      <c r="K216" s="25">
        <f>IF(I216&lt;=0.005,0,MIN(Inputs!$C$7,I216+J216))</f>
        <v/>
      </c>
      <c r="L216" s="25">
        <f>IF(I216&lt;=0.005,0,IF(H216=$B$4,MIN($B$3,I216-(K216-J216)),0))</f>
        <v/>
      </c>
      <c r="M216" s="25">
        <f>ROUND(I216-(K216-J216)-L216,2)</f>
        <v/>
      </c>
    </row>
    <row r="217">
      <c r="A217" t="n">
        <v>32</v>
      </c>
      <c r="B217" s="25">
        <f>F216</f>
        <v/>
      </c>
      <c r="C217" s="25">
        <f>IF(B217&lt;=0.005,0,ROUND(B217*Inputs!$B$8,2))</f>
        <v/>
      </c>
      <c r="D217" s="25">
        <f>IF(B217&lt;=0.005,0,MIN(Inputs!$B$7,B217+C217))</f>
        <v/>
      </c>
      <c r="E217" s="25">
        <f>IF(B217&lt;=0.005,0,IF(A217=$B$4,MIN($B$3,B217-(D217-C217)),0))</f>
        <v/>
      </c>
      <c r="F217" s="25">
        <f>ROUND(B217-(D217-C217)-E217,2)</f>
        <v/>
      </c>
      <c r="H217" t="n">
        <v>32</v>
      </c>
      <c r="I217" s="25">
        <f>M216</f>
        <v/>
      </c>
      <c r="J217" s="25">
        <f>IF(I217&lt;=0.005,0,ROUND(I217*Inputs!$C$8,2))</f>
        <v/>
      </c>
      <c r="K217" s="25">
        <f>IF(I217&lt;=0.005,0,MIN(Inputs!$C$7,I217+J217))</f>
        <v/>
      </c>
      <c r="L217" s="25">
        <f>IF(I217&lt;=0.005,0,IF(H217=$B$4,MIN($B$3,I217-(K217-J217)),0))</f>
        <v/>
      </c>
      <c r="M217" s="25">
        <f>ROUND(I217-(K217-J217)-L217,2)</f>
        <v/>
      </c>
    </row>
    <row r="218">
      <c r="A218" t="n">
        <v>33</v>
      </c>
      <c r="B218" s="25">
        <f>F217</f>
        <v/>
      </c>
      <c r="C218" s="25">
        <f>IF(B218&lt;=0.005,0,ROUND(B218*Inputs!$B$8,2))</f>
        <v/>
      </c>
      <c r="D218" s="25">
        <f>IF(B218&lt;=0.005,0,MIN(Inputs!$B$7,B218+C218))</f>
        <v/>
      </c>
      <c r="E218" s="25">
        <f>IF(B218&lt;=0.005,0,IF(A218=$B$4,MIN($B$3,B218-(D218-C218)),0))</f>
        <v/>
      </c>
      <c r="F218" s="25">
        <f>ROUND(B218-(D218-C218)-E218,2)</f>
        <v/>
      </c>
      <c r="H218" t="n">
        <v>33</v>
      </c>
      <c r="I218" s="25">
        <f>M217</f>
        <v/>
      </c>
      <c r="J218" s="25">
        <f>IF(I218&lt;=0.005,0,ROUND(I218*Inputs!$C$8,2))</f>
        <v/>
      </c>
      <c r="K218" s="25">
        <f>IF(I218&lt;=0.005,0,MIN(Inputs!$C$7,I218+J218))</f>
        <v/>
      </c>
      <c r="L218" s="25">
        <f>IF(I218&lt;=0.005,0,IF(H218=$B$4,MIN($B$3,I218-(K218-J218)),0))</f>
        <v/>
      </c>
      <c r="M218" s="25">
        <f>ROUND(I218-(K218-J218)-L218,2)</f>
        <v/>
      </c>
    </row>
    <row r="219">
      <c r="A219" t="n">
        <v>34</v>
      </c>
      <c r="B219" s="25">
        <f>F218</f>
        <v/>
      </c>
      <c r="C219" s="25">
        <f>IF(B219&lt;=0.005,0,ROUND(B219*Inputs!$B$8,2))</f>
        <v/>
      </c>
      <c r="D219" s="25">
        <f>IF(B219&lt;=0.005,0,MIN(Inputs!$B$7,B219+C219))</f>
        <v/>
      </c>
      <c r="E219" s="25">
        <f>IF(B219&lt;=0.005,0,IF(A219=$B$4,MIN($B$3,B219-(D219-C219)),0))</f>
        <v/>
      </c>
      <c r="F219" s="25">
        <f>ROUND(B219-(D219-C219)-E219,2)</f>
        <v/>
      </c>
      <c r="H219" t="n">
        <v>34</v>
      </c>
      <c r="I219" s="25">
        <f>M218</f>
        <v/>
      </c>
      <c r="J219" s="25">
        <f>IF(I219&lt;=0.005,0,ROUND(I219*Inputs!$C$8,2))</f>
        <v/>
      </c>
      <c r="K219" s="25">
        <f>IF(I219&lt;=0.005,0,MIN(Inputs!$C$7,I219+J219))</f>
        <v/>
      </c>
      <c r="L219" s="25">
        <f>IF(I219&lt;=0.005,0,IF(H219=$B$4,MIN($B$3,I219-(K219-J219)),0))</f>
        <v/>
      </c>
      <c r="M219" s="25">
        <f>ROUND(I219-(K219-J219)-L219,2)</f>
        <v/>
      </c>
    </row>
    <row r="220">
      <c r="A220" t="n">
        <v>35</v>
      </c>
      <c r="B220" s="25">
        <f>F219</f>
        <v/>
      </c>
      <c r="C220" s="25">
        <f>IF(B220&lt;=0.005,0,ROUND(B220*Inputs!$B$8,2))</f>
        <v/>
      </c>
      <c r="D220" s="25">
        <f>IF(B220&lt;=0.005,0,MIN(Inputs!$B$7,B220+C220))</f>
        <v/>
      </c>
      <c r="E220" s="25">
        <f>IF(B220&lt;=0.005,0,IF(A220=$B$4,MIN($B$3,B220-(D220-C220)),0))</f>
        <v/>
      </c>
      <c r="F220" s="25">
        <f>ROUND(B220-(D220-C220)-E220,2)</f>
        <v/>
      </c>
      <c r="H220" t="n">
        <v>35</v>
      </c>
      <c r="I220" s="25">
        <f>M219</f>
        <v/>
      </c>
      <c r="J220" s="25">
        <f>IF(I220&lt;=0.005,0,ROUND(I220*Inputs!$C$8,2))</f>
        <v/>
      </c>
      <c r="K220" s="25">
        <f>IF(I220&lt;=0.005,0,MIN(Inputs!$C$7,I220+J220))</f>
        <v/>
      </c>
      <c r="L220" s="25">
        <f>IF(I220&lt;=0.005,0,IF(H220=$B$4,MIN($B$3,I220-(K220-J220)),0))</f>
        <v/>
      </c>
      <c r="M220" s="25">
        <f>ROUND(I220-(K220-J220)-L220,2)</f>
        <v/>
      </c>
    </row>
    <row r="221">
      <c r="A221" t="n">
        <v>36</v>
      </c>
      <c r="B221" s="25">
        <f>F220</f>
        <v/>
      </c>
      <c r="C221" s="25">
        <f>IF(B221&lt;=0.005,0,ROUND(B221*Inputs!$B$8,2))</f>
        <v/>
      </c>
      <c r="D221" s="25">
        <f>IF(B221&lt;=0.005,0,MIN(Inputs!$B$7,B221+C221))</f>
        <v/>
      </c>
      <c r="E221" s="25">
        <f>IF(B221&lt;=0.005,0,IF(A221=$B$4,MIN($B$3,B221-(D221-C221)),0))</f>
        <v/>
      </c>
      <c r="F221" s="25">
        <f>ROUND(B221-(D221-C221)-E221,2)</f>
        <v/>
      </c>
      <c r="H221" t="n">
        <v>36</v>
      </c>
      <c r="I221" s="25">
        <f>M220</f>
        <v/>
      </c>
      <c r="J221" s="25">
        <f>IF(I221&lt;=0.005,0,ROUND(I221*Inputs!$C$8,2))</f>
        <v/>
      </c>
      <c r="K221" s="25">
        <f>IF(I221&lt;=0.005,0,MIN(Inputs!$C$7,I221+J221))</f>
        <v/>
      </c>
      <c r="L221" s="25">
        <f>IF(I221&lt;=0.005,0,IF(H221=$B$4,MIN($B$3,I221-(K221-J221)),0))</f>
        <v/>
      </c>
      <c r="M221" s="25">
        <f>ROUND(I221-(K221-J221)-L221,2)</f>
        <v/>
      </c>
    </row>
    <row r="222">
      <c r="A222" t="n">
        <v>37</v>
      </c>
      <c r="B222" s="25">
        <f>F221</f>
        <v/>
      </c>
      <c r="C222" s="25">
        <f>IF(B222&lt;=0.005,0,ROUND(B222*Inputs!$B$8,2))</f>
        <v/>
      </c>
      <c r="D222" s="25">
        <f>IF(B222&lt;=0.005,0,MIN(Inputs!$B$7,B222+C222))</f>
        <v/>
      </c>
      <c r="E222" s="25">
        <f>IF(B222&lt;=0.005,0,IF(A222=$B$4,MIN($B$3,B222-(D222-C222)),0))</f>
        <v/>
      </c>
      <c r="F222" s="25">
        <f>ROUND(B222-(D222-C222)-E222,2)</f>
        <v/>
      </c>
      <c r="H222" t="n">
        <v>37</v>
      </c>
      <c r="I222" s="25">
        <f>M221</f>
        <v/>
      </c>
      <c r="J222" s="25">
        <f>IF(I222&lt;=0.005,0,ROUND(I222*Inputs!$C$8,2))</f>
        <v/>
      </c>
      <c r="K222" s="25">
        <f>IF(I222&lt;=0.005,0,MIN(Inputs!$C$7,I222+J222))</f>
        <v/>
      </c>
      <c r="L222" s="25">
        <f>IF(I222&lt;=0.005,0,IF(H222=$B$4,MIN($B$3,I222-(K222-J222)),0))</f>
        <v/>
      </c>
      <c r="M222" s="25">
        <f>ROUND(I222-(K222-J222)-L222,2)</f>
        <v/>
      </c>
    </row>
    <row r="223">
      <c r="A223" t="n">
        <v>38</v>
      </c>
      <c r="B223" s="25">
        <f>F222</f>
        <v/>
      </c>
      <c r="C223" s="25">
        <f>IF(B223&lt;=0.005,0,ROUND(B223*Inputs!$B$8,2))</f>
        <v/>
      </c>
      <c r="D223" s="25">
        <f>IF(B223&lt;=0.005,0,MIN(Inputs!$B$7,B223+C223))</f>
        <v/>
      </c>
      <c r="E223" s="25">
        <f>IF(B223&lt;=0.005,0,IF(A223=$B$4,MIN($B$3,B223-(D223-C223)),0))</f>
        <v/>
      </c>
      <c r="F223" s="25">
        <f>ROUND(B223-(D223-C223)-E223,2)</f>
        <v/>
      </c>
      <c r="H223" t="n">
        <v>38</v>
      </c>
      <c r="I223" s="25">
        <f>M222</f>
        <v/>
      </c>
      <c r="J223" s="25">
        <f>IF(I223&lt;=0.005,0,ROUND(I223*Inputs!$C$8,2))</f>
        <v/>
      </c>
      <c r="K223" s="25">
        <f>IF(I223&lt;=0.005,0,MIN(Inputs!$C$7,I223+J223))</f>
        <v/>
      </c>
      <c r="L223" s="25">
        <f>IF(I223&lt;=0.005,0,IF(H223=$B$4,MIN($B$3,I223-(K223-J223)),0))</f>
        <v/>
      </c>
      <c r="M223" s="25">
        <f>ROUND(I223-(K223-J223)-L223,2)</f>
        <v/>
      </c>
    </row>
    <row r="224">
      <c r="A224" t="n">
        <v>39</v>
      </c>
      <c r="B224" s="25">
        <f>F223</f>
        <v/>
      </c>
      <c r="C224" s="25">
        <f>IF(B224&lt;=0.005,0,ROUND(B224*Inputs!$B$8,2))</f>
        <v/>
      </c>
      <c r="D224" s="25">
        <f>IF(B224&lt;=0.005,0,MIN(Inputs!$B$7,B224+C224))</f>
        <v/>
      </c>
      <c r="E224" s="25">
        <f>IF(B224&lt;=0.005,0,IF(A224=$B$4,MIN($B$3,B224-(D224-C224)),0))</f>
        <v/>
      </c>
      <c r="F224" s="25">
        <f>ROUND(B224-(D224-C224)-E224,2)</f>
        <v/>
      </c>
      <c r="H224" t="n">
        <v>39</v>
      </c>
      <c r="I224" s="25">
        <f>M223</f>
        <v/>
      </c>
      <c r="J224" s="25">
        <f>IF(I224&lt;=0.005,0,ROUND(I224*Inputs!$C$8,2))</f>
        <v/>
      </c>
      <c r="K224" s="25">
        <f>IF(I224&lt;=0.005,0,MIN(Inputs!$C$7,I224+J224))</f>
        <v/>
      </c>
      <c r="L224" s="25">
        <f>IF(I224&lt;=0.005,0,IF(H224=$B$4,MIN($B$3,I224-(K224-J224)),0))</f>
        <v/>
      </c>
      <c r="M224" s="25">
        <f>ROUND(I224-(K224-J224)-L224,2)</f>
        <v/>
      </c>
    </row>
    <row r="225">
      <c r="A225" t="n">
        <v>40</v>
      </c>
      <c r="B225" s="25">
        <f>F224</f>
        <v/>
      </c>
      <c r="C225" s="25">
        <f>IF(B225&lt;=0.005,0,ROUND(B225*Inputs!$B$8,2))</f>
        <v/>
      </c>
      <c r="D225" s="25">
        <f>IF(B225&lt;=0.005,0,MIN(Inputs!$B$7,B225+C225))</f>
        <v/>
      </c>
      <c r="E225" s="25">
        <f>IF(B225&lt;=0.005,0,IF(A225=$B$4,MIN($B$3,B225-(D225-C225)),0))</f>
        <v/>
      </c>
      <c r="F225" s="25">
        <f>ROUND(B225-(D225-C225)-E225,2)</f>
        <v/>
      </c>
      <c r="H225" t="n">
        <v>40</v>
      </c>
      <c r="I225" s="25">
        <f>M224</f>
        <v/>
      </c>
      <c r="J225" s="25">
        <f>IF(I225&lt;=0.005,0,ROUND(I225*Inputs!$C$8,2))</f>
        <v/>
      </c>
      <c r="K225" s="25">
        <f>IF(I225&lt;=0.005,0,MIN(Inputs!$C$7,I225+J225))</f>
        <v/>
      </c>
      <c r="L225" s="25">
        <f>IF(I225&lt;=0.005,0,IF(H225=$B$4,MIN($B$3,I225-(K225-J225)),0))</f>
        <v/>
      </c>
      <c r="M225" s="25">
        <f>ROUND(I225-(K225-J225)-L225,2)</f>
        <v/>
      </c>
    </row>
    <row r="226">
      <c r="A226" t="n">
        <v>41</v>
      </c>
      <c r="B226" s="25">
        <f>F225</f>
        <v/>
      </c>
      <c r="C226" s="25">
        <f>IF(B226&lt;=0.005,0,ROUND(B226*Inputs!$B$8,2))</f>
        <v/>
      </c>
      <c r="D226" s="25">
        <f>IF(B226&lt;=0.005,0,MIN(Inputs!$B$7,B226+C226))</f>
        <v/>
      </c>
      <c r="E226" s="25">
        <f>IF(B226&lt;=0.005,0,IF(A226=$B$4,MIN($B$3,B226-(D226-C226)),0))</f>
        <v/>
      </c>
      <c r="F226" s="25">
        <f>ROUND(B226-(D226-C226)-E226,2)</f>
        <v/>
      </c>
      <c r="H226" t="n">
        <v>41</v>
      </c>
      <c r="I226" s="25">
        <f>M225</f>
        <v/>
      </c>
      <c r="J226" s="25">
        <f>IF(I226&lt;=0.005,0,ROUND(I226*Inputs!$C$8,2))</f>
        <v/>
      </c>
      <c r="K226" s="25">
        <f>IF(I226&lt;=0.005,0,MIN(Inputs!$C$7,I226+J226))</f>
        <v/>
      </c>
      <c r="L226" s="25">
        <f>IF(I226&lt;=0.005,0,IF(H226=$B$4,MIN($B$3,I226-(K226-J226)),0))</f>
        <v/>
      </c>
      <c r="M226" s="25">
        <f>ROUND(I226-(K226-J226)-L226,2)</f>
        <v/>
      </c>
    </row>
    <row r="227">
      <c r="A227" t="n">
        <v>42</v>
      </c>
      <c r="B227" s="25">
        <f>F226</f>
        <v/>
      </c>
      <c r="C227" s="25">
        <f>IF(B227&lt;=0.005,0,ROUND(B227*Inputs!$B$8,2))</f>
        <v/>
      </c>
      <c r="D227" s="25">
        <f>IF(B227&lt;=0.005,0,MIN(Inputs!$B$7,B227+C227))</f>
        <v/>
      </c>
      <c r="E227" s="25">
        <f>IF(B227&lt;=0.005,0,IF(A227=$B$4,MIN($B$3,B227-(D227-C227)),0))</f>
        <v/>
      </c>
      <c r="F227" s="25">
        <f>ROUND(B227-(D227-C227)-E227,2)</f>
        <v/>
      </c>
      <c r="H227" t="n">
        <v>42</v>
      </c>
      <c r="I227" s="25">
        <f>M226</f>
        <v/>
      </c>
      <c r="J227" s="25">
        <f>IF(I227&lt;=0.005,0,ROUND(I227*Inputs!$C$8,2))</f>
        <v/>
      </c>
      <c r="K227" s="25">
        <f>IF(I227&lt;=0.005,0,MIN(Inputs!$C$7,I227+J227))</f>
        <v/>
      </c>
      <c r="L227" s="25">
        <f>IF(I227&lt;=0.005,0,IF(H227=$B$4,MIN($B$3,I227-(K227-J227)),0))</f>
        <v/>
      </c>
      <c r="M227" s="25">
        <f>ROUND(I227-(K227-J227)-L227,2)</f>
        <v/>
      </c>
    </row>
    <row r="228">
      <c r="A228" t="n">
        <v>43</v>
      </c>
      <c r="B228" s="25">
        <f>F227</f>
        <v/>
      </c>
      <c r="C228" s="25">
        <f>IF(B228&lt;=0.005,0,ROUND(B228*Inputs!$B$8,2))</f>
        <v/>
      </c>
      <c r="D228" s="25">
        <f>IF(B228&lt;=0.005,0,MIN(Inputs!$B$7,B228+C228))</f>
        <v/>
      </c>
      <c r="E228" s="25">
        <f>IF(B228&lt;=0.005,0,IF(A228=$B$4,MIN($B$3,B228-(D228-C228)),0))</f>
        <v/>
      </c>
      <c r="F228" s="25">
        <f>ROUND(B228-(D228-C228)-E228,2)</f>
        <v/>
      </c>
      <c r="H228" t="n">
        <v>43</v>
      </c>
      <c r="I228" s="25">
        <f>M227</f>
        <v/>
      </c>
      <c r="J228" s="25">
        <f>IF(I228&lt;=0.005,0,ROUND(I228*Inputs!$C$8,2))</f>
        <v/>
      </c>
      <c r="K228" s="25">
        <f>IF(I228&lt;=0.005,0,MIN(Inputs!$C$7,I228+J228))</f>
        <v/>
      </c>
      <c r="L228" s="25">
        <f>IF(I228&lt;=0.005,0,IF(H228=$B$4,MIN($B$3,I228-(K228-J228)),0))</f>
        <v/>
      </c>
      <c r="M228" s="25">
        <f>ROUND(I228-(K228-J228)-L228,2)</f>
        <v/>
      </c>
    </row>
    <row r="229">
      <c r="A229" t="n">
        <v>44</v>
      </c>
      <c r="B229" s="25">
        <f>F228</f>
        <v/>
      </c>
      <c r="C229" s="25">
        <f>IF(B229&lt;=0.005,0,ROUND(B229*Inputs!$B$8,2))</f>
        <v/>
      </c>
      <c r="D229" s="25">
        <f>IF(B229&lt;=0.005,0,MIN(Inputs!$B$7,B229+C229))</f>
        <v/>
      </c>
      <c r="E229" s="25">
        <f>IF(B229&lt;=0.005,0,IF(A229=$B$4,MIN($B$3,B229-(D229-C229)),0))</f>
        <v/>
      </c>
      <c r="F229" s="25">
        <f>ROUND(B229-(D229-C229)-E229,2)</f>
        <v/>
      </c>
      <c r="H229" t="n">
        <v>44</v>
      </c>
      <c r="I229" s="25">
        <f>M228</f>
        <v/>
      </c>
      <c r="J229" s="25">
        <f>IF(I229&lt;=0.005,0,ROUND(I229*Inputs!$C$8,2))</f>
        <v/>
      </c>
      <c r="K229" s="25">
        <f>IF(I229&lt;=0.005,0,MIN(Inputs!$C$7,I229+J229))</f>
        <v/>
      </c>
      <c r="L229" s="25">
        <f>IF(I229&lt;=0.005,0,IF(H229=$B$4,MIN($B$3,I229-(K229-J229)),0))</f>
        <v/>
      </c>
      <c r="M229" s="25">
        <f>ROUND(I229-(K229-J229)-L229,2)</f>
        <v/>
      </c>
    </row>
    <row r="230">
      <c r="A230" t="n">
        <v>45</v>
      </c>
      <c r="B230" s="25">
        <f>F229</f>
        <v/>
      </c>
      <c r="C230" s="25">
        <f>IF(B230&lt;=0.005,0,ROUND(B230*Inputs!$B$8,2))</f>
        <v/>
      </c>
      <c r="D230" s="25">
        <f>IF(B230&lt;=0.005,0,MIN(Inputs!$B$7,B230+C230))</f>
        <v/>
      </c>
      <c r="E230" s="25">
        <f>IF(B230&lt;=0.005,0,IF(A230=$B$4,MIN($B$3,B230-(D230-C230)),0))</f>
        <v/>
      </c>
      <c r="F230" s="25">
        <f>ROUND(B230-(D230-C230)-E230,2)</f>
        <v/>
      </c>
      <c r="H230" t="n">
        <v>45</v>
      </c>
      <c r="I230" s="25">
        <f>M229</f>
        <v/>
      </c>
      <c r="J230" s="25">
        <f>IF(I230&lt;=0.005,0,ROUND(I230*Inputs!$C$8,2))</f>
        <v/>
      </c>
      <c r="K230" s="25">
        <f>IF(I230&lt;=0.005,0,MIN(Inputs!$C$7,I230+J230))</f>
        <v/>
      </c>
      <c r="L230" s="25">
        <f>IF(I230&lt;=0.005,0,IF(H230=$B$4,MIN($B$3,I230-(K230-J230)),0))</f>
        <v/>
      </c>
      <c r="M230" s="25">
        <f>ROUND(I230-(K230-J230)-L230,2)</f>
        <v/>
      </c>
    </row>
    <row r="231">
      <c r="A231" t="n">
        <v>46</v>
      </c>
      <c r="B231" s="25">
        <f>F230</f>
        <v/>
      </c>
      <c r="C231" s="25">
        <f>IF(B231&lt;=0.005,0,ROUND(B231*Inputs!$B$8,2))</f>
        <v/>
      </c>
      <c r="D231" s="25">
        <f>IF(B231&lt;=0.005,0,MIN(Inputs!$B$7,B231+C231))</f>
        <v/>
      </c>
      <c r="E231" s="25">
        <f>IF(B231&lt;=0.005,0,IF(A231=$B$4,MIN($B$3,B231-(D231-C231)),0))</f>
        <v/>
      </c>
      <c r="F231" s="25">
        <f>ROUND(B231-(D231-C231)-E231,2)</f>
        <v/>
      </c>
      <c r="H231" t="n">
        <v>46</v>
      </c>
      <c r="I231" s="25">
        <f>M230</f>
        <v/>
      </c>
      <c r="J231" s="25">
        <f>IF(I231&lt;=0.005,0,ROUND(I231*Inputs!$C$8,2))</f>
        <v/>
      </c>
      <c r="K231" s="25">
        <f>IF(I231&lt;=0.005,0,MIN(Inputs!$C$7,I231+J231))</f>
        <v/>
      </c>
      <c r="L231" s="25">
        <f>IF(I231&lt;=0.005,0,IF(H231=$B$4,MIN($B$3,I231-(K231-J231)),0))</f>
        <v/>
      </c>
      <c r="M231" s="25">
        <f>ROUND(I231-(K231-J231)-L231,2)</f>
        <v/>
      </c>
    </row>
    <row r="232">
      <c r="A232" t="n">
        <v>47</v>
      </c>
      <c r="B232" s="25">
        <f>F231</f>
        <v/>
      </c>
      <c r="C232" s="25">
        <f>IF(B232&lt;=0.005,0,ROUND(B232*Inputs!$B$8,2))</f>
        <v/>
      </c>
      <c r="D232" s="25">
        <f>IF(B232&lt;=0.005,0,MIN(Inputs!$B$7,B232+C232))</f>
        <v/>
      </c>
      <c r="E232" s="25">
        <f>IF(B232&lt;=0.005,0,IF(A232=$B$4,MIN($B$3,B232-(D232-C232)),0))</f>
        <v/>
      </c>
      <c r="F232" s="25">
        <f>ROUND(B232-(D232-C232)-E232,2)</f>
        <v/>
      </c>
      <c r="H232" t="n">
        <v>47</v>
      </c>
      <c r="I232" s="25">
        <f>M231</f>
        <v/>
      </c>
      <c r="J232" s="25">
        <f>IF(I232&lt;=0.005,0,ROUND(I232*Inputs!$C$8,2))</f>
        <v/>
      </c>
      <c r="K232" s="25">
        <f>IF(I232&lt;=0.005,0,MIN(Inputs!$C$7,I232+J232))</f>
        <v/>
      </c>
      <c r="L232" s="25">
        <f>IF(I232&lt;=0.005,0,IF(H232=$B$4,MIN($B$3,I232-(K232-J232)),0))</f>
        <v/>
      </c>
      <c r="M232" s="25">
        <f>ROUND(I232-(K232-J232)-L232,2)</f>
        <v/>
      </c>
    </row>
    <row r="233">
      <c r="A233" t="n">
        <v>48</v>
      </c>
      <c r="B233" s="25">
        <f>F232</f>
        <v/>
      </c>
      <c r="C233" s="25">
        <f>IF(B233&lt;=0.005,0,ROUND(B233*Inputs!$B$8,2))</f>
        <v/>
      </c>
      <c r="D233" s="25">
        <f>IF(B233&lt;=0.005,0,MIN(Inputs!$B$7,B233+C233))</f>
        <v/>
      </c>
      <c r="E233" s="25">
        <f>IF(B233&lt;=0.005,0,IF(A233=$B$4,MIN($B$3,B233-(D233-C233)),0))</f>
        <v/>
      </c>
      <c r="F233" s="25">
        <f>ROUND(B233-(D233-C233)-E233,2)</f>
        <v/>
      </c>
      <c r="H233" t="n">
        <v>48</v>
      </c>
      <c r="I233" s="25">
        <f>M232</f>
        <v/>
      </c>
      <c r="J233" s="25">
        <f>IF(I233&lt;=0.005,0,ROUND(I233*Inputs!$C$8,2))</f>
        <v/>
      </c>
      <c r="K233" s="25">
        <f>IF(I233&lt;=0.005,0,MIN(Inputs!$C$7,I233+J233))</f>
        <v/>
      </c>
      <c r="L233" s="25">
        <f>IF(I233&lt;=0.005,0,IF(H233=$B$4,MIN($B$3,I233-(K233-J233)),0))</f>
        <v/>
      </c>
      <c r="M233" s="25">
        <f>ROUND(I233-(K233-J233)-L233,2)</f>
        <v/>
      </c>
    </row>
    <row r="234">
      <c r="A234" t="n">
        <v>49</v>
      </c>
      <c r="B234" s="25">
        <f>F233</f>
        <v/>
      </c>
      <c r="C234" s="25">
        <f>IF(B234&lt;=0.005,0,ROUND(B234*Inputs!$B$8,2))</f>
        <v/>
      </c>
      <c r="D234" s="25">
        <f>IF(B234&lt;=0.005,0,MIN(Inputs!$B$7,B234+C234))</f>
        <v/>
      </c>
      <c r="E234" s="25">
        <f>IF(B234&lt;=0.005,0,IF(A234=$B$4,MIN($B$3,B234-(D234-C234)),0))</f>
        <v/>
      </c>
      <c r="F234" s="25">
        <f>ROUND(B234-(D234-C234)-E234,2)</f>
        <v/>
      </c>
      <c r="H234" t="n">
        <v>49</v>
      </c>
      <c r="I234" s="25">
        <f>M233</f>
        <v/>
      </c>
      <c r="J234" s="25">
        <f>IF(I234&lt;=0.005,0,ROUND(I234*Inputs!$C$8,2))</f>
        <v/>
      </c>
      <c r="K234" s="25">
        <f>IF(I234&lt;=0.005,0,MIN(Inputs!$C$7,I234+J234))</f>
        <v/>
      </c>
      <c r="L234" s="25">
        <f>IF(I234&lt;=0.005,0,IF(H234=$B$4,MIN($B$3,I234-(K234-J234)),0))</f>
        <v/>
      </c>
      <c r="M234" s="25">
        <f>ROUND(I234-(K234-J234)-L234,2)</f>
        <v/>
      </c>
    </row>
    <row r="235">
      <c r="A235" t="n">
        <v>50</v>
      </c>
      <c r="B235" s="25">
        <f>F234</f>
        <v/>
      </c>
      <c r="C235" s="25">
        <f>IF(B235&lt;=0.005,0,ROUND(B235*Inputs!$B$8,2))</f>
        <v/>
      </c>
      <c r="D235" s="25">
        <f>IF(B235&lt;=0.005,0,MIN(Inputs!$B$7,B235+C235))</f>
        <v/>
      </c>
      <c r="E235" s="25">
        <f>IF(B235&lt;=0.005,0,IF(A235=$B$4,MIN($B$3,B235-(D235-C235)),0))</f>
        <v/>
      </c>
      <c r="F235" s="25">
        <f>ROUND(B235-(D235-C235)-E235,2)</f>
        <v/>
      </c>
      <c r="H235" t="n">
        <v>50</v>
      </c>
      <c r="I235" s="25">
        <f>M234</f>
        <v/>
      </c>
      <c r="J235" s="25">
        <f>IF(I235&lt;=0.005,0,ROUND(I235*Inputs!$C$8,2))</f>
        <v/>
      </c>
      <c r="K235" s="25">
        <f>IF(I235&lt;=0.005,0,MIN(Inputs!$C$7,I235+J235))</f>
        <v/>
      </c>
      <c r="L235" s="25">
        <f>IF(I235&lt;=0.005,0,IF(H235=$B$4,MIN($B$3,I235-(K235-J235)),0))</f>
        <v/>
      </c>
      <c r="M235" s="25">
        <f>ROUND(I235-(K235-J235)-L235,2)</f>
        <v/>
      </c>
    </row>
    <row r="236">
      <c r="A236" t="n">
        <v>51</v>
      </c>
      <c r="B236" s="25">
        <f>F235</f>
        <v/>
      </c>
      <c r="C236" s="25">
        <f>IF(B236&lt;=0.005,0,ROUND(B236*Inputs!$B$8,2))</f>
        <v/>
      </c>
      <c r="D236" s="25">
        <f>IF(B236&lt;=0.005,0,MIN(Inputs!$B$7,B236+C236))</f>
        <v/>
      </c>
      <c r="E236" s="25">
        <f>IF(B236&lt;=0.005,0,IF(A236=$B$4,MIN($B$3,B236-(D236-C236)),0))</f>
        <v/>
      </c>
      <c r="F236" s="25">
        <f>ROUND(B236-(D236-C236)-E236,2)</f>
        <v/>
      </c>
      <c r="H236" t="n">
        <v>51</v>
      </c>
      <c r="I236" s="25">
        <f>M235</f>
        <v/>
      </c>
      <c r="J236" s="25">
        <f>IF(I236&lt;=0.005,0,ROUND(I236*Inputs!$C$8,2))</f>
        <v/>
      </c>
      <c r="K236" s="25">
        <f>IF(I236&lt;=0.005,0,MIN(Inputs!$C$7,I236+J236))</f>
        <v/>
      </c>
      <c r="L236" s="25">
        <f>IF(I236&lt;=0.005,0,IF(H236=$B$4,MIN($B$3,I236-(K236-J236)),0))</f>
        <v/>
      </c>
      <c r="M236" s="25">
        <f>ROUND(I236-(K236-J236)-L236,2)</f>
        <v/>
      </c>
    </row>
    <row r="237">
      <c r="A237" t="n">
        <v>52</v>
      </c>
      <c r="B237" s="25">
        <f>F236</f>
        <v/>
      </c>
      <c r="C237" s="25">
        <f>IF(B237&lt;=0.005,0,ROUND(B237*Inputs!$B$8,2))</f>
        <v/>
      </c>
      <c r="D237" s="25">
        <f>IF(B237&lt;=0.005,0,MIN(Inputs!$B$7,B237+C237))</f>
        <v/>
      </c>
      <c r="E237" s="25">
        <f>IF(B237&lt;=0.005,0,IF(A237=$B$4,MIN($B$3,B237-(D237-C237)),0))</f>
        <v/>
      </c>
      <c r="F237" s="25">
        <f>ROUND(B237-(D237-C237)-E237,2)</f>
        <v/>
      </c>
      <c r="H237" t="n">
        <v>52</v>
      </c>
      <c r="I237" s="25">
        <f>M236</f>
        <v/>
      </c>
      <c r="J237" s="25">
        <f>IF(I237&lt;=0.005,0,ROUND(I237*Inputs!$C$8,2))</f>
        <v/>
      </c>
      <c r="K237" s="25">
        <f>IF(I237&lt;=0.005,0,MIN(Inputs!$C$7,I237+J237))</f>
        <v/>
      </c>
      <c r="L237" s="25">
        <f>IF(I237&lt;=0.005,0,IF(H237=$B$4,MIN($B$3,I237-(K237-J237)),0))</f>
        <v/>
      </c>
      <c r="M237" s="25">
        <f>ROUND(I237-(K237-J237)-L237,2)</f>
        <v/>
      </c>
    </row>
    <row r="238">
      <c r="A238" t="n">
        <v>53</v>
      </c>
      <c r="B238" s="25">
        <f>F237</f>
        <v/>
      </c>
      <c r="C238" s="25">
        <f>IF(B238&lt;=0.005,0,ROUND(B238*Inputs!$B$8,2))</f>
        <v/>
      </c>
      <c r="D238" s="25">
        <f>IF(B238&lt;=0.005,0,MIN(Inputs!$B$7,B238+C238))</f>
        <v/>
      </c>
      <c r="E238" s="25">
        <f>IF(B238&lt;=0.005,0,IF(A238=$B$4,MIN($B$3,B238-(D238-C238)),0))</f>
        <v/>
      </c>
      <c r="F238" s="25">
        <f>ROUND(B238-(D238-C238)-E238,2)</f>
        <v/>
      </c>
      <c r="H238" t="n">
        <v>53</v>
      </c>
      <c r="I238" s="25">
        <f>M237</f>
        <v/>
      </c>
      <c r="J238" s="25">
        <f>IF(I238&lt;=0.005,0,ROUND(I238*Inputs!$C$8,2))</f>
        <v/>
      </c>
      <c r="K238" s="25">
        <f>IF(I238&lt;=0.005,0,MIN(Inputs!$C$7,I238+J238))</f>
        <v/>
      </c>
      <c r="L238" s="25">
        <f>IF(I238&lt;=0.005,0,IF(H238=$B$4,MIN($B$3,I238-(K238-J238)),0))</f>
        <v/>
      </c>
      <c r="M238" s="25">
        <f>ROUND(I238-(K238-J238)-L238,2)</f>
        <v/>
      </c>
    </row>
    <row r="239">
      <c r="A239" t="n">
        <v>54</v>
      </c>
      <c r="B239" s="25">
        <f>F238</f>
        <v/>
      </c>
      <c r="C239" s="25">
        <f>IF(B239&lt;=0.005,0,ROUND(B239*Inputs!$B$8,2))</f>
        <v/>
      </c>
      <c r="D239" s="25">
        <f>IF(B239&lt;=0.005,0,MIN(Inputs!$B$7,B239+C239))</f>
        <v/>
      </c>
      <c r="E239" s="25">
        <f>IF(B239&lt;=0.005,0,IF(A239=$B$4,MIN($B$3,B239-(D239-C239)),0))</f>
        <v/>
      </c>
      <c r="F239" s="25">
        <f>ROUND(B239-(D239-C239)-E239,2)</f>
        <v/>
      </c>
      <c r="H239" t="n">
        <v>54</v>
      </c>
      <c r="I239" s="25">
        <f>M238</f>
        <v/>
      </c>
      <c r="J239" s="25">
        <f>IF(I239&lt;=0.005,0,ROUND(I239*Inputs!$C$8,2))</f>
        <v/>
      </c>
      <c r="K239" s="25">
        <f>IF(I239&lt;=0.005,0,MIN(Inputs!$C$7,I239+J239))</f>
        <v/>
      </c>
      <c r="L239" s="25">
        <f>IF(I239&lt;=0.005,0,IF(H239=$B$4,MIN($B$3,I239-(K239-J239)),0))</f>
        <v/>
      </c>
      <c r="M239" s="25">
        <f>ROUND(I239-(K239-J239)-L239,2)</f>
        <v/>
      </c>
    </row>
    <row r="240">
      <c r="A240" t="n">
        <v>55</v>
      </c>
      <c r="B240" s="25">
        <f>F239</f>
        <v/>
      </c>
      <c r="C240" s="25">
        <f>IF(B240&lt;=0.005,0,ROUND(B240*Inputs!$B$8,2))</f>
        <v/>
      </c>
      <c r="D240" s="25">
        <f>IF(B240&lt;=0.005,0,MIN(Inputs!$B$7,B240+C240))</f>
        <v/>
      </c>
      <c r="E240" s="25">
        <f>IF(B240&lt;=0.005,0,IF(A240=$B$4,MIN($B$3,B240-(D240-C240)),0))</f>
        <v/>
      </c>
      <c r="F240" s="25">
        <f>ROUND(B240-(D240-C240)-E240,2)</f>
        <v/>
      </c>
      <c r="H240" t="n">
        <v>55</v>
      </c>
      <c r="I240" s="25">
        <f>M239</f>
        <v/>
      </c>
      <c r="J240" s="25">
        <f>IF(I240&lt;=0.005,0,ROUND(I240*Inputs!$C$8,2))</f>
        <v/>
      </c>
      <c r="K240" s="25">
        <f>IF(I240&lt;=0.005,0,MIN(Inputs!$C$7,I240+J240))</f>
        <v/>
      </c>
      <c r="L240" s="25">
        <f>IF(I240&lt;=0.005,0,IF(H240=$B$4,MIN($B$3,I240-(K240-J240)),0))</f>
        <v/>
      </c>
      <c r="M240" s="25">
        <f>ROUND(I240-(K240-J240)-L240,2)</f>
        <v/>
      </c>
    </row>
    <row r="241">
      <c r="A241" t="n">
        <v>56</v>
      </c>
      <c r="B241" s="25">
        <f>F240</f>
        <v/>
      </c>
      <c r="C241" s="25">
        <f>IF(B241&lt;=0.005,0,ROUND(B241*Inputs!$B$8,2))</f>
        <v/>
      </c>
      <c r="D241" s="25">
        <f>IF(B241&lt;=0.005,0,MIN(Inputs!$B$7,B241+C241))</f>
        <v/>
      </c>
      <c r="E241" s="25">
        <f>IF(B241&lt;=0.005,0,IF(A241=$B$4,MIN($B$3,B241-(D241-C241)),0))</f>
        <v/>
      </c>
      <c r="F241" s="25">
        <f>ROUND(B241-(D241-C241)-E241,2)</f>
        <v/>
      </c>
      <c r="H241" t="n">
        <v>56</v>
      </c>
      <c r="I241" s="25">
        <f>M240</f>
        <v/>
      </c>
      <c r="J241" s="25">
        <f>IF(I241&lt;=0.005,0,ROUND(I241*Inputs!$C$8,2))</f>
        <v/>
      </c>
      <c r="K241" s="25">
        <f>IF(I241&lt;=0.005,0,MIN(Inputs!$C$7,I241+J241))</f>
        <v/>
      </c>
      <c r="L241" s="25">
        <f>IF(I241&lt;=0.005,0,IF(H241=$B$4,MIN($B$3,I241-(K241-J241)),0))</f>
        <v/>
      </c>
      <c r="M241" s="25">
        <f>ROUND(I241-(K241-J241)-L241,2)</f>
        <v/>
      </c>
    </row>
    <row r="242">
      <c r="A242" t="n">
        <v>57</v>
      </c>
      <c r="B242" s="25">
        <f>F241</f>
        <v/>
      </c>
      <c r="C242" s="25">
        <f>IF(B242&lt;=0.005,0,ROUND(B242*Inputs!$B$8,2))</f>
        <v/>
      </c>
      <c r="D242" s="25">
        <f>IF(B242&lt;=0.005,0,MIN(Inputs!$B$7,B242+C242))</f>
        <v/>
      </c>
      <c r="E242" s="25">
        <f>IF(B242&lt;=0.005,0,IF(A242=$B$4,MIN($B$3,B242-(D242-C242)),0))</f>
        <v/>
      </c>
      <c r="F242" s="25">
        <f>ROUND(B242-(D242-C242)-E242,2)</f>
        <v/>
      </c>
      <c r="H242" t="n">
        <v>57</v>
      </c>
      <c r="I242" s="25">
        <f>M241</f>
        <v/>
      </c>
      <c r="J242" s="25">
        <f>IF(I242&lt;=0.005,0,ROUND(I242*Inputs!$C$8,2))</f>
        <v/>
      </c>
      <c r="K242" s="25">
        <f>IF(I242&lt;=0.005,0,MIN(Inputs!$C$7,I242+J242))</f>
        <v/>
      </c>
      <c r="L242" s="25">
        <f>IF(I242&lt;=0.005,0,IF(H242=$B$4,MIN($B$3,I242-(K242-J242)),0))</f>
        <v/>
      </c>
      <c r="M242" s="25">
        <f>ROUND(I242-(K242-J242)-L242,2)</f>
        <v/>
      </c>
    </row>
    <row r="243">
      <c r="A243" t="n">
        <v>58</v>
      </c>
      <c r="B243" s="25">
        <f>F242</f>
        <v/>
      </c>
      <c r="C243" s="25">
        <f>IF(B243&lt;=0.005,0,ROUND(B243*Inputs!$B$8,2))</f>
        <v/>
      </c>
      <c r="D243" s="25">
        <f>IF(B243&lt;=0.005,0,MIN(Inputs!$B$7,B243+C243))</f>
        <v/>
      </c>
      <c r="E243" s="25">
        <f>IF(B243&lt;=0.005,0,IF(A243=$B$4,MIN($B$3,B243-(D243-C243)),0))</f>
        <v/>
      </c>
      <c r="F243" s="25">
        <f>ROUND(B243-(D243-C243)-E243,2)</f>
        <v/>
      </c>
      <c r="H243" t="n">
        <v>58</v>
      </c>
      <c r="I243" s="25">
        <f>M242</f>
        <v/>
      </c>
      <c r="J243" s="25">
        <f>IF(I243&lt;=0.005,0,ROUND(I243*Inputs!$C$8,2))</f>
        <v/>
      </c>
      <c r="K243" s="25">
        <f>IF(I243&lt;=0.005,0,MIN(Inputs!$C$7,I243+J243))</f>
        <v/>
      </c>
      <c r="L243" s="25">
        <f>IF(I243&lt;=0.005,0,IF(H243=$B$4,MIN($B$3,I243-(K243-J243)),0))</f>
        <v/>
      </c>
      <c r="M243" s="25">
        <f>ROUND(I243-(K243-J243)-L243,2)</f>
        <v/>
      </c>
    </row>
    <row r="244">
      <c r="A244" t="n">
        <v>59</v>
      </c>
      <c r="B244" s="25">
        <f>F243</f>
        <v/>
      </c>
      <c r="C244" s="25">
        <f>IF(B244&lt;=0.005,0,ROUND(B244*Inputs!$B$8,2))</f>
        <v/>
      </c>
      <c r="D244" s="25">
        <f>IF(B244&lt;=0.005,0,MIN(Inputs!$B$7,B244+C244))</f>
        <v/>
      </c>
      <c r="E244" s="25">
        <f>IF(B244&lt;=0.005,0,IF(A244=$B$4,MIN($B$3,B244-(D244-C244)),0))</f>
        <v/>
      </c>
      <c r="F244" s="25">
        <f>ROUND(B244-(D244-C244)-E244,2)</f>
        <v/>
      </c>
      <c r="H244" t="n">
        <v>59</v>
      </c>
      <c r="I244" s="25">
        <f>M243</f>
        <v/>
      </c>
      <c r="J244" s="25">
        <f>IF(I244&lt;=0.005,0,ROUND(I244*Inputs!$C$8,2))</f>
        <v/>
      </c>
      <c r="K244" s="25">
        <f>IF(I244&lt;=0.005,0,MIN(Inputs!$C$7,I244+J244))</f>
        <v/>
      </c>
      <c r="L244" s="25">
        <f>IF(I244&lt;=0.005,0,IF(H244=$B$4,MIN($B$3,I244-(K244-J244)),0))</f>
        <v/>
      </c>
      <c r="M244" s="25">
        <f>ROUND(I244-(K244-J244)-L244,2)</f>
        <v/>
      </c>
    </row>
    <row r="245">
      <c r="A245" t="n">
        <v>60</v>
      </c>
      <c r="B245" s="25">
        <f>F244</f>
        <v/>
      </c>
      <c r="C245" s="25">
        <f>IF(B245&lt;=0.005,0,ROUND(B245*Inputs!$B$8,2))</f>
        <v/>
      </c>
      <c r="D245" s="25">
        <f>IF(B245&lt;=0.005,0,MIN(Inputs!$B$7,B245+C245))</f>
        <v/>
      </c>
      <c r="E245" s="25">
        <f>IF(B245&lt;=0.005,0,IF(A245=$B$4,MIN($B$3,B245-(D245-C245)),0))</f>
        <v/>
      </c>
      <c r="F245" s="25">
        <f>ROUND(B245-(D245-C245)-E245,2)</f>
        <v/>
      </c>
      <c r="H245" t="n">
        <v>60</v>
      </c>
      <c r="I245" s="25">
        <f>M244</f>
        <v/>
      </c>
      <c r="J245" s="25">
        <f>IF(I245&lt;=0.005,0,ROUND(I245*Inputs!$C$8,2))</f>
        <v/>
      </c>
      <c r="K245" s="25">
        <f>IF(I245&lt;=0.005,0,MIN(Inputs!$C$7,I245+J245))</f>
        <v/>
      </c>
      <c r="L245" s="25">
        <f>IF(I245&lt;=0.005,0,IF(H245=$B$4,MIN($B$3,I245-(K245-J245)),0))</f>
        <v/>
      </c>
      <c r="M245" s="25">
        <f>ROUND(I245-(K245-J245)-L245,2)</f>
        <v/>
      </c>
    </row>
    <row r="246">
      <c r="A246" t="n">
        <v>61</v>
      </c>
      <c r="B246" s="25">
        <f>F245</f>
        <v/>
      </c>
      <c r="C246" s="25">
        <f>IF(B246&lt;=0.005,0,ROUND(B246*Inputs!$B$8,2))</f>
        <v/>
      </c>
      <c r="D246" s="25">
        <f>IF(B246&lt;=0.005,0,MIN(Inputs!$B$7,B246+C246))</f>
        <v/>
      </c>
      <c r="E246" s="25">
        <f>IF(B246&lt;=0.005,0,IF(A246=$B$4,MIN($B$3,B246-(D246-C246)),0))</f>
        <v/>
      </c>
      <c r="F246" s="25">
        <f>ROUND(B246-(D246-C246)-E246,2)</f>
        <v/>
      </c>
      <c r="H246" t="n">
        <v>61</v>
      </c>
      <c r="I246" s="25">
        <f>M245</f>
        <v/>
      </c>
      <c r="J246" s="25">
        <f>IF(I246&lt;=0.005,0,ROUND(I246*Inputs!$C$8,2))</f>
        <v/>
      </c>
      <c r="K246" s="25">
        <f>IF(I246&lt;=0.005,0,MIN(Inputs!$C$7,I246+J246))</f>
        <v/>
      </c>
      <c r="L246" s="25">
        <f>IF(I246&lt;=0.005,0,IF(H246=$B$4,MIN($B$3,I246-(K246-J246)),0))</f>
        <v/>
      </c>
      <c r="M246" s="25">
        <f>ROUND(I246-(K246-J246)-L246,2)</f>
        <v/>
      </c>
    </row>
    <row r="247">
      <c r="A247" t="n">
        <v>62</v>
      </c>
      <c r="B247" s="25">
        <f>F246</f>
        <v/>
      </c>
      <c r="C247" s="25">
        <f>IF(B247&lt;=0.005,0,ROUND(B247*Inputs!$B$8,2))</f>
        <v/>
      </c>
      <c r="D247" s="25">
        <f>IF(B247&lt;=0.005,0,MIN(Inputs!$B$7,B247+C247))</f>
        <v/>
      </c>
      <c r="E247" s="25">
        <f>IF(B247&lt;=0.005,0,IF(A247=$B$4,MIN($B$3,B247-(D247-C247)),0))</f>
        <v/>
      </c>
      <c r="F247" s="25">
        <f>ROUND(B247-(D247-C247)-E247,2)</f>
        <v/>
      </c>
      <c r="H247" t="n">
        <v>62</v>
      </c>
      <c r="I247" s="25">
        <f>M246</f>
        <v/>
      </c>
      <c r="J247" s="25">
        <f>IF(I247&lt;=0.005,0,ROUND(I247*Inputs!$C$8,2))</f>
        <v/>
      </c>
      <c r="K247" s="25">
        <f>IF(I247&lt;=0.005,0,MIN(Inputs!$C$7,I247+J247))</f>
        <v/>
      </c>
      <c r="L247" s="25">
        <f>IF(I247&lt;=0.005,0,IF(H247=$B$4,MIN($B$3,I247-(K247-J247)),0))</f>
        <v/>
      </c>
      <c r="M247" s="25">
        <f>ROUND(I247-(K247-J247)-L247,2)</f>
        <v/>
      </c>
    </row>
    <row r="248">
      <c r="A248" t="n">
        <v>63</v>
      </c>
      <c r="B248" s="25">
        <f>F247</f>
        <v/>
      </c>
      <c r="C248" s="25">
        <f>IF(B248&lt;=0.005,0,ROUND(B248*Inputs!$B$8,2))</f>
        <v/>
      </c>
      <c r="D248" s="25">
        <f>IF(B248&lt;=0.005,0,MIN(Inputs!$B$7,B248+C248))</f>
        <v/>
      </c>
      <c r="E248" s="25">
        <f>IF(B248&lt;=0.005,0,IF(A248=$B$4,MIN($B$3,B248-(D248-C248)),0))</f>
        <v/>
      </c>
      <c r="F248" s="25">
        <f>ROUND(B248-(D248-C248)-E248,2)</f>
        <v/>
      </c>
      <c r="H248" t="n">
        <v>63</v>
      </c>
      <c r="I248" s="25">
        <f>M247</f>
        <v/>
      </c>
      <c r="J248" s="25">
        <f>IF(I248&lt;=0.005,0,ROUND(I248*Inputs!$C$8,2))</f>
        <v/>
      </c>
      <c r="K248" s="25">
        <f>IF(I248&lt;=0.005,0,MIN(Inputs!$C$7,I248+J248))</f>
        <v/>
      </c>
      <c r="L248" s="25">
        <f>IF(I248&lt;=0.005,0,IF(H248=$B$4,MIN($B$3,I248-(K248-J248)),0))</f>
        <v/>
      </c>
      <c r="M248" s="25">
        <f>ROUND(I248-(K248-J248)-L248,2)</f>
        <v/>
      </c>
    </row>
    <row r="249">
      <c r="A249" t="n">
        <v>64</v>
      </c>
      <c r="B249" s="25">
        <f>F248</f>
        <v/>
      </c>
      <c r="C249" s="25">
        <f>IF(B249&lt;=0.005,0,ROUND(B249*Inputs!$B$8,2))</f>
        <v/>
      </c>
      <c r="D249" s="25">
        <f>IF(B249&lt;=0.005,0,MIN(Inputs!$B$7,B249+C249))</f>
        <v/>
      </c>
      <c r="E249" s="25">
        <f>IF(B249&lt;=0.005,0,IF(A249=$B$4,MIN($B$3,B249-(D249-C249)),0))</f>
        <v/>
      </c>
      <c r="F249" s="25">
        <f>ROUND(B249-(D249-C249)-E249,2)</f>
        <v/>
      </c>
      <c r="H249" t="n">
        <v>64</v>
      </c>
      <c r="I249" s="25">
        <f>M248</f>
        <v/>
      </c>
      <c r="J249" s="25">
        <f>IF(I249&lt;=0.005,0,ROUND(I249*Inputs!$C$8,2))</f>
        <v/>
      </c>
      <c r="K249" s="25">
        <f>IF(I249&lt;=0.005,0,MIN(Inputs!$C$7,I249+J249))</f>
        <v/>
      </c>
      <c r="L249" s="25">
        <f>IF(I249&lt;=0.005,0,IF(H249=$B$4,MIN($B$3,I249-(K249-J249)),0))</f>
        <v/>
      </c>
      <c r="M249" s="25">
        <f>ROUND(I249-(K249-J249)-L249,2)</f>
        <v/>
      </c>
    </row>
    <row r="250">
      <c r="A250" t="n">
        <v>65</v>
      </c>
      <c r="B250" s="25">
        <f>F249</f>
        <v/>
      </c>
      <c r="C250" s="25">
        <f>IF(B250&lt;=0.005,0,ROUND(B250*Inputs!$B$8,2))</f>
        <v/>
      </c>
      <c r="D250" s="25">
        <f>IF(B250&lt;=0.005,0,MIN(Inputs!$B$7,B250+C250))</f>
        <v/>
      </c>
      <c r="E250" s="25">
        <f>IF(B250&lt;=0.005,0,IF(A250=$B$4,MIN($B$3,B250-(D250-C250)),0))</f>
        <v/>
      </c>
      <c r="F250" s="25">
        <f>ROUND(B250-(D250-C250)-E250,2)</f>
        <v/>
      </c>
      <c r="H250" t="n">
        <v>65</v>
      </c>
      <c r="I250" s="25">
        <f>M249</f>
        <v/>
      </c>
      <c r="J250" s="25">
        <f>IF(I250&lt;=0.005,0,ROUND(I250*Inputs!$C$8,2))</f>
        <v/>
      </c>
      <c r="K250" s="25">
        <f>IF(I250&lt;=0.005,0,MIN(Inputs!$C$7,I250+J250))</f>
        <v/>
      </c>
      <c r="L250" s="25">
        <f>IF(I250&lt;=0.005,0,IF(H250=$B$4,MIN($B$3,I250-(K250-J250)),0))</f>
        <v/>
      </c>
      <c r="M250" s="25">
        <f>ROUND(I250-(K250-J250)-L250,2)</f>
        <v/>
      </c>
    </row>
    <row r="251">
      <c r="A251" t="n">
        <v>66</v>
      </c>
      <c r="B251" s="25">
        <f>F250</f>
        <v/>
      </c>
      <c r="C251" s="25">
        <f>IF(B251&lt;=0.005,0,ROUND(B251*Inputs!$B$8,2))</f>
        <v/>
      </c>
      <c r="D251" s="25">
        <f>IF(B251&lt;=0.005,0,MIN(Inputs!$B$7,B251+C251))</f>
        <v/>
      </c>
      <c r="E251" s="25">
        <f>IF(B251&lt;=0.005,0,IF(A251=$B$4,MIN($B$3,B251-(D251-C251)),0))</f>
        <v/>
      </c>
      <c r="F251" s="25">
        <f>ROUND(B251-(D251-C251)-E251,2)</f>
        <v/>
      </c>
      <c r="H251" t="n">
        <v>66</v>
      </c>
      <c r="I251" s="25">
        <f>M250</f>
        <v/>
      </c>
      <c r="J251" s="25">
        <f>IF(I251&lt;=0.005,0,ROUND(I251*Inputs!$C$8,2))</f>
        <v/>
      </c>
      <c r="K251" s="25">
        <f>IF(I251&lt;=0.005,0,MIN(Inputs!$C$7,I251+J251))</f>
        <v/>
      </c>
      <c r="L251" s="25">
        <f>IF(I251&lt;=0.005,0,IF(H251=$B$4,MIN($B$3,I251-(K251-J251)),0))</f>
        <v/>
      </c>
      <c r="M251" s="25">
        <f>ROUND(I251-(K251-J251)-L251,2)</f>
        <v/>
      </c>
    </row>
    <row r="252">
      <c r="A252" t="n">
        <v>67</v>
      </c>
      <c r="B252" s="25">
        <f>F251</f>
        <v/>
      </c>
      <c r="C252" s="25">
        <f>IF(B252&lt;=0.005,0,ROUND(B252*Inputs!$B$8,2))</f>
        <v/>
      </c>
      <c r="D252" s="25">
        <f>IF(B252&lt;=0.005,0,MIN(Inputs!$B$7,B252+C252))</f>
        <v/>
      </c>
      <c r="E252" s="25">
        <f>IF(B252&lt;=0.005,0,IF(A252=$B$4,MIN($B$3,B252-(D252-C252)),0))</f>
        <v/>
      </c>
      <c r="F252" s="25">
        <f>ROUND(B252-(D252-C252)-E252,2)</f>
        <v/>
      </c>
      <c r="H252" t="n">
        <v>67</v>
      </c>
      <c r="I252" s="25">
        <f>M251</f>
        <v/>
      </c>
      <c r="J252" s="25">
        <f>IF(I252&lt;=0.005,0,ROUND(I252*Inputs!$C$8,2))</f>
        <v/>
      </c>
      <c r="K252" s="25">
        <f>IF(I252&lt;=0.005,0,MIN(Inputs!$C$7,I252+J252))</f>
        <v/>
      </c>
      <c r="L252" s="25">
        <f>IF(I252&lt;=0.005,0,IF(H252=$B$4,MIN($B$3,I252-(K252-J252)),0))</f>
        <v/>
      </c>
      <c r="M252" s="25">
        <f>ROUND(I252-(K252-J252)-L252,2)</f>
        <v/>
      </c>
    </row>
    <row r="253">
      <c r="A253" t="n">
        <v>68</v>
      </c>
      <c r="B253" s="25">
        <f>F252</f>
        <v/>
      </c>
      <c r="C253" s="25">
        <f>IF(B253&lt;=0.005,0,ROUND(B253*Inputs!$B$8,2))</f>
        <v/>
      </c>
      <c r="D253" s="25">
        <f>IF(B253&lt;=0.005,0,MIN(Inputs!$B$7,B253+C253))</f>
        <v/>
      </c>
      <c r="E253" s="25">
        <f>IF(B253&lt;=0.005,0,IF(A253=$B$4,MIN($B$3,B253-(D253-C253)),0))</f>
        <v/>
      </c>
      <c r="F253" s="25">
        <f>ROUND(B253-(D253-C253)-E253,2)</f>
        <v/>
      </c>
      <c r="H253" t="n">
        <v>68</v>
      </c>
      <c r="I253" s="25">
        <f>M252</f>
        <v/>
      </c>
      <c r="J253" s="25">
        <f>IF(I253&lt;=0.005,0,ROUND(I253*Inputs!$C$8,2))</f>
        <v/>
      </c>
      <c r="K253" s="25">
        <f>IF(I253&lt;=0.005,0,MIN(Inputs!$C$7,I253+J253))</f>
        <v/>
      </c>
      <c r="L253" s="25">
        <f>IF(I253&lt;=0.005,0,IF(H253=$B$4,MIN($B$3,I253-(K253-J253)),0))</f>
        <v/>
      </c>
      <c r="M253" s="25">
        <f>ROUND(I253-(K253-J253)-L253,2)</f>
        <v/>
      </c>
    </row>
    <row r="254">
      <c r="A254" t="n">
        <v>69</v>
      </c>
      <c r="B254" s="25">
        <f>F253</f>
        <v/>
      </c>
      <c r="C254" s="25">
        <f>IF(B254&lt;=0.005,0,ROUND(B254*Inputs!$B$8,2))</f>
        <v/>
      </c>
      <c r="D254" s="25">
        <f>IF(B254&lt;=0.005,0,MIN(Inputs!$B$7,B254+C254))</f>
        <v/>
      </c>
      <c r="E254" s="25">
        <f>IF(B254&lt;=0.005,0,IF(A254=$B$4,MIN($B$3,B254-(D254-C254)),0))</f>
        <v/>
      </c>
      <c r="F254" s="25">
        <f>ROUND(B254-(D254-C254)-E254,2)</f>
        <v/>
      </c>
      <c r="H254" t="n">
        <v>69</v>
      </c>
      <c r="I254" s="25">
        <f>M253</f>
        <v/>
      </c>
      <c r="J254" s="25">
        <f>IF(I254&lt;=0.005,0,ROUND(I254*Inputs!$C$8,2))</f>
        <v/>
      </c>
      <c r="K254" s="25">
        <f>IF(I254&lt;=0.005,0,MIN(Inputs!$C$7,I254+J254))</f>
        <v/>
      </c>
      <c r="L254" s="25">
        <f>IF(I254&lt;=0.005,0,IF(H254=$B$4,MIN($B$3,I254-(K254-J254)),0))</f>
        <v/>
      </c>
      <c r="M254" s="25">
        <f>ROUND(I254-(K254-J254)-L254,2)</f>
        <v/>
      </c>
    </row>
    <row r="255">
      <c r="A255" t="n">
        <v>70</v>
      </c>
      <c r="B255" s="25">
        <f>F254</f>
        <v/>
      </c>
      <c r="C255" s="25">
        <f>IF(B255&lt;=0.005,0,ROUND(B255*Inputs!$B$8,2))</f>
        <v/>
      </c>
      <c r="D255" s="25">
        <f>IF(B255&lt;=0.005,0,MIN(Inputs!$B$7,B255+C255))</f>
        <v/>
      </c>
      <c r="E255" s="25">
        <f>IF(B255&lt;=0.005,0,IF(A255=$B$4,MIN($B$3,B255-(D255-C255)),0))</f>
        <v/>
      </c>
      <c r="F255" s="25">
        <f>ROUND(B255-(D255-C255)-E255,2)</f>
        <v/>
      </c>
      <c r="H255" t="n">
        <v>70</v>
      </c>
      <c r="I255" s="25">
        <f>M254</f>
        <v/>
      </c>
      <c r="J255" s="25">
        <f>IF(I255&lt;=0.005,0,ROUND(I255*Inputs!$C$8,2))</f>
        <v/>
      </c>
      <c r="K255" s="25">
        <f>IF(I255&lt;=0.005,0,MIN(Inputs!$C$7,I255+J255))</f>
        <v/>
      </c>
      <c r="L255" s="25">
        <f>IF(I255&lt;=0.005,0,IF(H255=$B$4,MIN($B$3,I255-(K255-J255)),0))</f>
        <v/>
      </c>
      <c r="M255" s="25">
        <f>ROUND(I255-(K255-J255)-L255,2)</f>
        <v/>
      </c>
    </row>
    <row r="256">
      <c r="A256" t="n">
        <v>71</v>
      </c>
      <c r="B256" s="25">
        <f>F255</f>
        <v/>
      </c>
      <c r="C256" s="25">
        <f>IF(B256&lt;=0.005,0,ROUND(B256*Inputs!$B$8,2))</f>
        <v/>
      </c>
      <c r="D256" s="25">
        <f>IF(B256&lt;=0.005,0,MIN(Inputs!$B$7,B256+C256))</f>
        <v/>
      </c>
      <c r="E256" s="25">
        <f>IF(B256&lt;=0.005,0,IF(A256=$B$4,MIN($B$3,B256-(D256-C256)),0))</f>
        <v/>
      </c>
      <c r="F256" s="25">
        <f>ROUND(B256-(D256-C256)-E256,2)</f>
        <v/>
      </c>
      <c r="H256" t="n">
        <v>71</v>
      </c>
      <c r="I256" s="25">
        <f>M255</f>
        <v/>
      </c>
      <c r="J256" s="25">
        <f>IF(I256&lt;=0.005,0,ROUND(I256*Inputs!$C$8,2))</f>
        <v/>
      </c>
      <c r="K256" s="25">
        <f>IF(I256&lt;=0.005,0,MIN(Inputs!$C$7,I256+J256))</f>
        <v/>
      </c>
      <c r="L256" s="25">
        <f>IF(I256&lt;=0.005,0,IF(H256=$B$4,MIN($B$3,I256-(K256-J256)),0))</f>
        <v/>
      </c>
      <c r="M256" s="25">
        <f>ROUND(I256-(K256-J256)-L256,2)</f>
        <v/>
      </c>
    </row>
    <row r="257">
      <c r="A257" t="n">
        <v>72</v>
      </c>
      <c r="B257" s="25">
        <f>F256</f>
        <v/>
      </c>
      <c r="C257" s="25">
        <f>IF(B257&lt;=0.005,0,ROUND(B257*Inputs!$B$8,2))</f>
        <v/>
      </c>
      <c r="D257" s="25">
        <f>IF(B257&lt;=0.005,0,MIN(Inputs!$B$7,B257+C257))</f>
        <v/>
      </c>
      <c r="E257" s="25">
        <f>IF(B257&lt;=0.005,0,IF(A257=$B$4,MIN($B$3,B257-(D257-C257)),0))</f>
        <v/>
      </c>
      <c r="F257" s="25">
        <f>ROUND(B257-(D257-C257)-E257,2)</f>
        <v/>
      </c>
      <c r="H257" t="n">
        <v>72</v>
      </c>
      <c r="I257" s="25">
        <f>M256</f>
        <v/>
      </c>
      <c r="J257" s="25">
        <f>IF(I257&lt;=0.005,0,ROUND(I257*Inputs!$C$8,2))</f>
        <v/>
      </c>
      <c r="K257" s="25">
        <f>IF(I257&lt;=0.005,0,MIN(Inputs!$C$7,I257+J257))</f>
        <v/>
      </c>
      <c r="L257" s="25">
        <f>IF(I257&lt;=0.005,0,IF(H257=$B$4,MIN($B$3,I257-(K257-J257)),0))</f>
        <v/>
      </c>
      <c r="M257" s="25">
        <f>ROUND(I257-(K257-J257)-L257,2)</f>
        <v/>
      </c>
    </row>
    <row r="258">
      <c r="A258" t="n">
        <v>73</v>
      </c>
      <c r="B258" s="25">
        <f>F257</f>
        <v/>
      </c>
      <c r="C258" s="25">
        <f>IF(B258&lt;=0.005,0,ROUND(B258*Inputs!$B$8,2))</f>
        <v/>
      </c>
      <c r="D258" s="25">
        <f>IF(B258&lt;=0.005,0,MIN(Inputs!$B$7,B258+C258))</f>
        <v/>
      </c>
      <c r="E258" s="25">
        <f>IF(B258&lt;=0.005,0,IF(A258=$B$4,MIN($B$3,B258-(D258-C258)),0))</f>
        <v/>
      </c>
      <c r="F258" s="25">
        <f>ROUND(B258-(D258-C258)-E258,2)</f>
        <v/>
      </c>
      <c r="H258" t="n">
        <v>73</v>
      </c>
      <c r="I258" s="25">
        <f>M257</f>
        <v/>
      </c>
      <c r="J258" s="25">
        <f>IF(I258&lt;=0.005,0,ROUND(I258*Inputs!$C$8,2))</f>
        <v/>
      </c>
      <c r="K258" s="25">
        <f>IF(I258&lt;=0.005,0,MIN(Inputs!$C$7,I258+J258))</f>
        <v/>
      </c>
      <c r="L258" s="25">
        <f>IF(I258&lt;=0.005,0,IF(H258=$B$4,MIN($B$3,I258-(K258-J258)),0))</f>
        <v/>
      </c>
      <c r="M258" s="25">
        <f>ROUND(I258-(K258-J258)-L258,2)</f>
        <v/>
      </c>
    </row>
    <row r="259">
      <c r="A259" t="n">
        <v>74</v>
      </c>
      <c r="B259" s="25">
        <f>F258</f>
        <v/>
      </c>
      <c r="C259" s="25">
        <f>IF(B259&lt;=0.005,0,ROUND(B259*Inputs!$B$8,2))</f>
        <v/>
      </c>
      <c r="D259" s="25">
        <f>IF(B259&lt;=0.005,0,MIN(Inputs!$B$7,B259+C259))</f>
        <v/>
      </c>
      <c r="E259" s="25">
        <f>IF(B259&lt;=0.005,0,IF(A259=$B$4,MIN($B$3,B259-(D259-C259)),0))</f>
        <v/>
      </c>
      <c r="F259" s="25">
        <f>ROUND(B259-(D259-C259)-E259,2)</f>
        <v/>
      </c>
      <c r="H259" t="n">
        <v>74</v>
      </c>
      <c r="I259" s="25">
        <f>M258</f>
        <v/>
      </c>
      <c r="J259" s="25">
        <f>IF(I259&lt;=0.005,0,ROUND(I259*Inputs!$C$8,2))</f>
        <v/>
      </c>
      <c r="K259" s="25">
        <f>IF(I259&lt;=0.005,0,MIN(Inputs!$C$7,I259+J259))</f>
        <v/>
      </c>
      <c r="L259" s="25">
        <f>IF(I259&lt;=0.005,0,IF(H259=$B$4,MIN($B$3,I259-(K259-J259)),0))</f>
        <v/>
      </c>
      <c r="M259" s="25">
        <f>ROUND(I259-(K259-J259)-L259,2)</f>
        <v/>
      </c>
    </row>
    <row r="260">
      <c r="A260" t="n">
        <v>75</v>
      </c>
      <c r="B260" s="25">
        <f>F259</f>
        <v/>
      </c>
      <c r="C260" s="25">
        <f>IF(B260&lt;=0.005,0,ROUND(B260*Inputs!$B$8,2))</f>
        <v/>
      </c>
      <c r="D260" s="25">
        <f>IF(B260&lt;=0.005,0,MIN(Inputs!$B$7,B260+C260))</f>
        <v/>
      </c>
      <c r="E260" s="25">
        <f>IF(B260&lt;=0.005,0,IF(A260=$B$4,MIN($B$3,B260-(D260-C260)),0))</f>
        <v/>
      </c>
      <c r="F260" s="25">
        <f>ROUND(B260-(D260-C260)-E260,2)</f>
        <v/>
      </c>
      <c r="H260" t="n">
        <v>75</v>
      </c>
      <c r="I260" s="25">
        <f>M259</f>
        <v/>
      </c>
      <c r="J260" s="25">
        <f>IF(I260&lt;=0.005,0,ROUND(I260*Inputs!$C$8,2))</f>
        <v/>
      </c>
      <c r="K260" s="25">
        <f>IF(I260&lt;=0.005,0,MIN(Inputs!$C$7,I260+J260))</f>
        <v/>
      </c>
      <c r="L260" s="25">
        <f>IF(I260&lt;=0.005,0,IF(H260=$B$4,MIN($B$3,I260-(K260-J260)),0))</f>
        <v/>
      </c>
      <c r="M260" s="25">
        <f>ROUND(I260-(K260-J260)-L260,2)</f>
        <v/>
      </c>
    </row>
    <row r="261">
      <c r="A261" t="n">
        <v>76</v>
      </c>
      <c r="B261" s="25">
        <f>F260</f>
        <v/>
      </c>
      <c r="C261" s="25">
        <f>IF(B261&lt;=0.005,0,ROUND(B261*Inputs!$B$8,2))</f>
        <v/>
      </c>
      <c r="D261" s="25">
        <f>IF(B261&lt;=0.005,0,MIN(Inputs!$B$7,B261+C261))</f>
        <v/>
      </c>
      <c r="E261" s="25">
        <f>IF(B261&lt;=0.005,0,IF(A261=$B$4,MIN($B$3,B261-(D261-C261)),0))</f>
        <v/>
      </c>
      <c r="F261" s="25">
        <f>ROUND(B261-(D261-C261)-E261,2)</f>
        <v/>
      </c>
      <c r="H261" t="n">
        <v>76</v>
      </c>
      <c r="I261" s="25">
        <f>M260</f>
        <v/>
      </c>
      <c r="J261" s="25">
        <f>IF(I261&lt;=0.005,0,ROUND(I261*Inputs!$C$8,2))</f>
        <v/>
      </c>
      <c r="K261" s="25">
        <f>IF(I261&lt;=0.005,0,MIN(Inputs!$C$7,I261+J261))</f>
        <v/>
      </c>
      <c r="L261" s="25">
        <f>IF(I261&lt;=0.005,0,IF(H261=$B$4,MIN($B$3,I261-(K261-J261)),0))</f>
        <v/>
      </c>
      <c r="M261" s="25">
        <f>ROUND(I261-(K261-J261)-L261,2)</f>
        <v/>
      </c>
    </row>
    <row r="262">
      <c r="A262" t="n">
        <v>77</v>
      </c>
      <c r="B262" s="25">
        <f>F261</f>
        <v/>
      </c>
      <c r="C262" s="25">
        <f>IF(B262&lt;=0.005,0,ROUND(B262*Inputs!$B$8,2))</f>
        <v/>
      </c>
      <c r="D262" s="25">
        <f>IF(B262&lt;=0.005,0,MIN(Inputs!$B$7,B262+C262))</f>
        <v/>
      </c>
      <c r="E262" s="25">
        <f>IF(B262&lt;=0.005,0,IF(A262=$B$4,MIN($B$3,B262-(D262-C262)),0))</f>
        <v/>
      </c>
      <c r="F262" s="25">
        <f>ROUND(B262-(D262-C262)-E262,2)</f>
        <v/>
      </c>
      <c r="H262" t="n">
        <v>77</v>
      </c>
      <c r="I262" s="25">
        <f>M261</f>
        <v/>
      </c>
      <c r="J262" s="25">
        <f>IF(I262&lt;=0.005,0,ROUND(I262*Inputs!$C$8,2))</f>
        <v/>
      </c>
      <c r="K262" s="25">
        <f>IF(I262&lt;=0.005,0,MIN(Inputs!$C$7,I262+J262))</f>
        <v/>
      </c>
      <c r="L262" s="25">
        <f>IF(I262&lt;=0.005,0,IF(H262=$B$4,MIN($B$3,I262-(K262-J262)),0))</f>
        <v/>
      </c>
      <c r="M262" s="25">
        <f>ROUND(I262-(K262-J262)-L262,2)</f>
        <v/>
      </c>
    </row>
    <row r="263">
      <c r="A263" t="n">
        <v>78</v>
      </c>
      <c r="B263" s="25">
        <f>F262</f>
        <v/>
      </c>
      <c r="C263" s="25">
        <f>IF(B263&lt;=0.005,0,ROUND(B263*Inputs!$B$8,2))</f>
        <v/>
      </c>
      <c r="D263" s="25">
        <f>IF(B263&lt;=0.005,0,MIN(Inputs!$B$7,B263+C263))</f>
        <v/>
      </c>
      <c r="E263" s="25">
        <f>IF(B263&lt;=0.005,0,IF(A263=$B$4,MIN($B$3,B263-(D263-C263)),0))</f>
        <v/>
      </c>
      <c r="F263" s="25">
        <f>ROUND(B263-(D263-C263)-E263,2)</f>
        <v/>
      </c>
      <c r="H263" t="n">
        <v>78</v>
      </c>
      <c r="I263" s="25">
        <f>M262</f>
        <v/>
      </c>
      <c r="J263" s="25">
        <f>IF(I263&lt;=0.005,0,ROUND(I263*Inputs!$C$8,2))</f>
        <v/>
      </c>
      <c r="K263" s="25">
        <f>IF(I263&lt;=0.005,0,MIN(Inputs!$C$7,I263+J263))</f>
        <v/>
      </c>
      <c r="L263" s="25">
        <f>IF(I263&lt;=0.005,0,IF(H263=$B$4,MIN($B$3,I263-(K263-J263)),0))</f>
        <v/>
      </c>
      <c r="M263" s="25">
        <f>ROUND(I263-(K263-J263)-L263,2)</f>
        <v/>
      </c>
    </row>
    <row r="264">
      <c r="A264" t="n">
        <v>79</v>
      </c>
      <c r="B264" s="25">
        <f>F263</f>
        <v/>
      </c>
      <c r="C264" s="25">
        <f>IF(B264&lt;=0.005,0,ROUND(B264*Inputs!$B$8,2))</f>
        <v/>
      </c>
      <c r="D264" s="25">
        <f>IF(B264&lt;=0.005,0,MIN(Inputs!$B$7,B264+C264))</f>
        <v/>
      </c>
      <c r="E264" s="25">
        <f>IF(B264&lt;=0.005,0,IF(A264=$B$4,MIN($B$3,B264-(D264-C264)),0))</f>
        <v/>
      </c>
      <c r="F264" s="25">
        <f>ROUND(B264-(D264-C264)-E264,2)</f>
        <v/>
      </c>
      <c r="H264" t="n">
        <v>79</v>
      </c>
      <c r="I264" s="25">
        <f>M263</f>
        <v/>
      </c>
      <c r="J264" s="25">
        <f>IF(I264&lt;=0.005,0,ROUND(I264*Inputs!$C$8,2))</f>
        <v/>
      </c>
      <c r="K264" s="25">
        <f>IF(I264&lt;=0.005,0,MIN(Inputs!$C$7,I264+J264))</f>
        <v/>
      </c>
      <c r="L264" s="25">
        <f>IF(I264&lt;=0.005,0,IF(H264=$B$4,MIN($B$3,I264-(K264-J264)),0))</f>
        <v/>
      </c>
      <c r="M264" s="25">
        <f>ROUND(I264-(K264-J264)-L264,2)</f>
        <v/>
      </c>
    </row>
    <row r="265">
      <c r="A265" t="n">
        <v>80</v>
      </c>
      <c r="B265" s="25">
        <f>F264</f>
        <v/>
      </c>
      <c r="C265" s="25">
        <f>IF(B265&lt;=0.005,0,ROUND(B265*Inputs!$B$8,2))</f>
        <v/>
      </c>
      <c r="D265" s="25">
        <f>IF(B265&lt;=0.005,0,MIN(Inputs!$B$7,B265+C265))</f>
        <v/>
      </c>
      <c r="E265" s="25">
        <f>IF(B265&lt;=0.005,0,IF(A265=$B$4,MIN($B$3,B265-(D265-C265)),0))</f>
        <v/>
      </c>
      <c r="F265" s="25">
        <f>ROUND(B265-(D265-C265)-E265,2)</f>
        <v/>
      </c>
      <c r="H265" t="n">
        <v>80</v>
      </c>
      <c r="I265" s="25">
        <f>M264</f>
        <v/>
      </c>
      <c r="J265" s="25">
        <f>IF(I265&lt;=0.005,0,ROUND(I265*Inputs!$C$8,2))</f>
        <v/>
      </c>
      <c r="K265" s="25">
        <f>IF(I265&lt;=0.005,0,MIN(Inputs!$C$7,I265+J265))</f>
        <v/>
      </c>
      <c r="L265" s="25">
        <f>IF(I265&lt;=0.005,0,IF(H265=$B$4,MIN($B$3,I265-(K265-J265)),0))</f>
        <v/>
      </c>
      <c r="M265" s="25">
        <f>ROUND(I265-(K265-J265)-L265,2)</f>
        <v/>
      </c>
    </row>
    <row r="266">
      <c r="A266" t="n">
        <v>81</v>
      </c>
      <c r="B266" s="25">
        <f>F265</f>
        <v/>
      </c>
      <c r="C266" s="25">
        <f>IF(B266&lt;=0.005,0,ROUND(B266*Inputs!$B$8,2))</f>
        <v/>
      </c>
      <c r="D266" s="25">
        <f>IF(B266&lt;=0.005,0,MIN(Inputs!$B$7,B266+C266))</f>
        <v/>
      </c>
      <c r="E266" s="25">
        <f>IF(B266&lt;=0.005,0,IF(A266=$B$4,MIN($B$3,B266-(D266-C266)),0))</f>
        <v/>
      </c>
      <c r="F266" s="25">
        <f>ROUND(B266-(D266-C266)-E266,2)</f>
        <v/>
      </c>
      <c r="H266" t="n">
        <v>81</v>
      </c>
      <c r="I266" s="25">
        <f>M265</f>
        <v/>
      </c>
      <c r="J266" s="25">
        <f>IF(I266&lt;=0.005,0,ROUND(I266*Inputs!$C$8,2))</f>
        <v/>
      </c>
      <c r="K266" s="25">
        <f>IF(I266&lt;=0.005,0,MIN(Inputs!$C$7,I266+J266))</f>
        <v/>
      </c>
      <c r="L266" s="25">
        <f>IF(I266&lt;=0.005,0,IF(H266=$B$4,MIN($B$3,I266-(K266-J266)),0))</f>
        <v/>
      </c>
      <c r="M266" s="25">
        <f>ROUND(I266-(K266-J266)-L266,2)</f>
        <v/>
      </c>
    </row>
    <row r="267">
      <c r="A267" t="n">
        <v>82</v>
      </c>
      <c r="B267" s="25">
        <f>F266</f>
        <v/>
      </c>
      <c r="C267" s="25">
        <f>IF(B267&lt;=0.005,0,ROUND(B267*Inputs!$B$8,2))</f>
        <v/>
      </c>
      <c r="D267" s="25">
        <f>IF(B267&lt;=0.005,0,MIN(Inputs!$B$7,B267+C267))</f>
        <v/>
      </c>
      <c r="E267" s="25">
        <f>IF(B267&lt;=0.005,0,IF(A267=$B$4,MIN($B$3,B267-(D267-C267)),0))</f>
        <v/>
      </c>
      <c r="F267" s="25">
        <f>ROUND(B267-(D267-C267)-E267,2)</f>
        <v/>
      </c>
      <c r="H267" t="n">
        <v>82</v>
      </c>
      <c r="I267" s="25">
        <f>M266</f>
        <v/>
      </c>
      <c r="J267" s="25">
        <f>IF(I267&lt;=0.005,0,ROUND(I267*Inputs!$C$8,2))</f>
        <v/>
      </c>
      <c r="K267" s="25">
        <f>IF(I267&lt;=0.005,0,MIN(Inputs!$C$7,I267+J267))</f>
        <v/>
      </c>
      <c r="L267" s="25">
        <f>IF(I267&lt;=0.005,0,IF(H267=$B$4,MIN($B$3,I267-(K267-J267)),0))</f>
        <v/>
      </c>
      <c r="M267" s="25">
        <f>ROUND(I267-(K267-J267)-L267,2)</f>
        <v/>
      </c>
    </row>
    <row r="268">
      <c r="A268" t="n">
        <v>83</v>
      </c>
      <c r="B268" s="25">
        <f>F267</f>
        <v/>
      </c>
      <c r="C268" s="25">
        <f>IF(B268&lt;=0.005,0,ROUND(B268*Inputs!$B$8,2))</f>
        <v/>
      </c>
      <c r="D268" s="25">
        <f>IF(B268&lt;=0.005,0,MIN(Inputs!$B$7,B268+C268))</f>
        <v/>
      </c>
      <c r="E268" s="25">
        <f>IF(B268&lt;=0.005,0,IF(A268=$B$4,MIN($B$3,B268-(D268-C268)),0))</f>
        <v/>
      </c>
      <c r="F268" s="25">
        <f>ROUND(B268-(D268-C268)-E268,2)</f>
        <v/>
      </c>
      <c r="H268" t="n">
        <v>83</v>
      </c>
      <c r="I268" s="25">
        <f>M267</f>
        <v/>
      </c>
      <c r="J268" s="25">
        <f>IF(I268&lt;=0.005,0,ROUND(I268*Inputs!$C$8,2))</f>
        <v/>
      </c>
      <c r="K268" s="25">
        <f>IF(I268&lt;=0.005,0,MIN(Inputs!$C$7,I268+J268))</f>
        <v/>
      </c>
      <c r="L268" s="25">
        <f>IF(I268&lt;=0.005,0,IF(H268=$B$4,MIN($B$3,I268-(K268-J268)),0))</f>
        <v/>
      </c>
      <c r="M268" s="25">
        <f>ROUND(I268-(K268-J268)-L268,2)</f>
        <v/>
      </c>
    </row>
    <row r="269">
      <c r="A269" t="n">
        <v>84</v>
      </c>
      <c r="B269" s="25">
        <f>F268</f>
        <v/>
      </c>
      <c r="C269" s="25">
        <f>IF(B269&lt;=0.005,0,ROUND(B269*Inputs!$B$8,2))</f>
        <v/>
      </c>
      <c r="D269" s="25">
        <f>IF(B269&lt;=0.005,0,MIN(Inputs!$B$7,B269+C269))</f>
        <v/>
      </c>
      <c r="E269" s="25">
        <f>IF(B269&lt;=0.005,0,IF(A269=$B$4,MIN($B$3,B269-(D269-C269)),0))</f>
        <v/>
      </c>
      <c r="F269" s="25">
        <f>ROUND(B269-(D269-C269)-E269,2)</f>
        <v/>
      </c>
      <c r="H269" t="n">
        <v>84</v>
      </c>
      <c r="I269" s="25">
        <f>M268</f>
        <v/>
      </c>
      <c r="J269" s="25">
        <f>IF(I269&lt;=0.005,0,ROUND(I269*Inputs!$C$8,2))</f>
        <v/>
      </c>
      <c r="K269" s="25">
        <f>IF(I269&lt;=0.005,0,MIN(Inputs!$C$7,I269+J269))</f>
        <v/>
      </c>
      <c r="L269" s="25">
        <f>IF(I269&lt;=0.005,0,IF(H269=$B$4,MIN($B$3,I269-(K269-J269)),0))</f>
        <v/>
      </c>
      <c r="M269" s="25">
        <f>ROUND(I269-(K269-J269)-L269,2)</f>
        <v/>
      </c>
    </row>
    <row r="270">
      <c r="A270" t="n">
        <v>85</v>
      </c>
      <c r="B270" s="25">
        <f>F269</f>
        <v/>
      </c>
      <c r="C270" s="25">
        <f>IF(B270&lt;=0.005,0,ROUND(B270*Inputs!$B$8,2))</f>
        <v/>
      </c>
      <c r="D270" s="25">
        <f>IF(B270&lt;=0.005,0,MIN(Inputs!$B$7,B270+C270))</f>
        <v/>
      </c>
      <c r="E270" s="25">
        <f>IF(B270&lt;=0.005,0,IF(A270=$B$4,MIN($B$3,B270-(D270-C270)),0))</f>
        <v/>
      </c>
      <c r="F270" s="25">
        <f>ROUND(B270-(D270-C270)-E270,2)</f>
        <v/>
      </c>
      <c r="H270" t="n">
        <v>85</v>
      </c>
      <c r="I270" s="25">
        <f>M269</f>
        <v/>
      </c>
      <c r="J270" s="25">
        <f>IF(I270&lt;=0.005,0,ROUND(I270*Inputs!$C$8,2))</f>
        <v/>
      </c>
      <c r="K270" s="25">
        <f>IF(I270&lt;=0.005,0,MIN(Inputs!$C$7,I270+J270))</f>
        <v/>
      </c>
      <c r="L270" s="25">
        <f>IF(I270&lt;=0.005,0,IF(H270=$B$4,MIN($B$3,I270-(K270-J270)),0))</f>
        <v/>
      </c>
      <c r="M270" s="25">
        <f>ROUND(I270-(K270-J270)-L270,2)</f>
        <v/>
      </c>
    </row>
    <row r="271">
      <c r="A271" t="n">
        <v>86</v>
      </c>
      <c r="B271" s="25">
        <f>F270</f>
        <v/>
      </c>
      <c r="C271" s="25">
        <f>IF(B271&lt;=0.005,0,ROUND(B271*Inputs!$B$8,2))</f>
        <v/>
      </c>
      <c r="D271" s="25">
        <f>IF(B271&lt;=0.005,0,MIN(Inputs!$B$7,B271+C271))</f>
        <v/>
      </c>
      <c r="E271" s="25">
        <f>IF(B271&lt;=0.005,0,IF(A271=$B$4,MIN($B$3,B271-(D271-C271)),0))</f>
        <v/>
      </c>
      <c r="F271" s="25">
        <f>ROUND(B271-(D271-C271)-E271,2)</f>
        <v/>
      </c>
      <c r="H271" t="n">
        <v>86</v>
      </c>
      <c r="I271" s="25">
        <f>M270</f>
        <v/>
      </c>
      <c r="J271" s="25">
        <f>IF(I271&lt;=0.005,0,ROUND(I271*Inputs!$C$8,2))</f>
        <v/>
      </c>
      <c r="K271" s="25">
        <f>IF(I271&lt;=0.005,0,MIN(Inputs!$C$7,I271+J271))</f>
        <v/>
      </c>
      <c r="L271" s="25">
        <f>IF(I271&lt;=0.005,0,IF(H271=$B$4,MIN($B$3,I271-(K271-J271)),0))</f>
        <v/>
      </c>
      <c r="M271" s="25">
        <f>ROUND(I271-(K271-J271)-L271,2)</f>
        <v/>
      </c>
    </row>
    <row r="272">
      <c r="A272" t="n">
        <v>87</v>
      </c>
      <c r="B272" s="25">
        <f>F271</f>
        <v/>
      </c>
      <c r="C272" s="25">
        <f>IF(B272&lt;=0.005,0,ROUND(B272*Inputs!$B$8,2))</f>
        <v/>
      </c>
      <c r="D272" s="25">
        <f>IF(B272&lt;=0.005,0,MIN(Inputs!$B$7,B272+C272))</f>
        <v/>
      </c>
      <c r="E272" s="25">
        <f>IF(B272&lt;=0.005,0,IF(A272=$B$4,MIN($B$3,B272-(D272-C272)),0))</f>
        <v/>
      </c>
      <c r="F272" s="25">
        <f>ROUND(B272-(D272-C272)-E272,2)</f>
        <v/>
      </c>
      <c r="H272" t="n">
        <v>87</v>
      </c>
      <c r="I272" s="25">
        <f>M271</f>
        <v/>
      </c>
      <c r="J272" s="25">
        <f>IF(I272&lt;=0.005,0,ROUND(I272*Inputs!$C$8,2))</f>
        <v/>
      </c>
      <c r="K272" s="25">
        <f>IF(I272&lt;=0.005,0,MIN(Inputs!$C$7,I272+J272))</f>
        <v/>
      </c>
      <c r="L272" s="25">
        <f>IF(I272&lt;=0.005,0,IF(H272=$B$4,MIN($B$3,I272-(K272-J272)),0))</f>
        <v/>
      </c>
      <c r="M272" s="25">
        <f>ROUND(I272-(K272-J272)-L272,2)</f>
        <v/>
      </c>
    </row>
    <row r="273">
      <c r="A273" t="n">
        <v>88</v>
      </c>
      <c r="B273" s="25">
        <f>F272</f>
        <v/>
      </c>
      <c r="C273" s="25">
        <f>IF(B273&lt;=0.005,0,ROUND(B273*Inputs!$B$8,2))</f>
        <v/>
      </c>
      <c r="D273" s="25">
        <f>IF(B273&lt;=0.005,0,MIN(Inputs!$B$7,B273+C273))</f>
        <v/>
      </c>
      <c r="E273" s="25">
        <f>IF(B273&lt;=0.005,0,IF(A273=$B$4,MIN($B$3,B273-(D273-C273)),0))</f>
        <v/>
      </c>
      <c r="F273" s="25">
        <f>ROUND(B273-(D273-C273)-E273,2)</f>
        <v/>
      </c>
      <c r="H273" t="n">
        <v>88</v>
      </c>
      <c r="I273" s="25">
        <f>M272</f>
        <v/>
      </c>
      <c r="J273" s="25">
        <f>IF(I273&lt;=0.005,0,ROUND(I273*Inputs!$C$8,2))</f>
        <v/>
      </c>
      <c r="K273" s="25">
        <f>IF(I273&lt;=0.005,0,MIN(Inputs!$C$7,I273+J273))</f>
        <v/>
      </c>
      <c r="L273" s="25">
        <f>IF(I273&lt;=0.005,0,IF(H273=$B$4,MIN($B$3,I273-(K273-J273)),0))</f>
        <v/>
      </c>
      <c r="M273" s="25">
        <f>ROUND(I273-(K273-J273)-L273,2)</f>
        <v/>
      </c>
    </row>
    <row r="274">
      <c r="A274" t="n">
        <v>89</v>
      </c>
      <c r="B274" s="25">
        <f>F273</f>
        <v/>
      </c>
      <c r="C274" s="25">
        <f>IF(B274&lt;=0.005,0,ROUND(B274*Inputs!$B$8,2))</f>
        <v/>
      </c>
      <c r="D274" s="25">
        <f>IF(B274&lt;=0.005,0,MIN(Inputs!$B$7,B274+C274))</f>
        <v/>
      </c>
      <c r="E274" s="25">
        <f>IF(B274&lt;=0.005,0,IF(A274=$B$4,MIN($B$3,B274-(D274-C274)),0))</f>
        <v/>
      </c>
      <c r="F274" s="25">
        <f>ROUND(B274-(D274-C274)-E274,2)</f>
        <v/>
      </c>
      <c r="H274" t="n">
        <v>89</v>
      </c>
      <c r="I274" s="25">
        <f>M273</f>
        <v/>
      </c>
      <c r="J274" s="25">
        <f>IF(I274&lt;=0.005,0,ROUND(I274*Inputs!$C$8,2))</f>
        <v/>
      </c>
      <c r="K274" s="25">
        <f>IF(I274&lt;=0.005,0,MIN(Inputs!$C$7,I274+J274))</f>
        <v/>
      </c>
      <c r="L274" s="25">
        <f>IF(I274&lt;=0.005,0,IF(H274=$B$4,MIN($B$3,I274-(K274-J274)),0))</f>
        <v/>
      </c>
      <c r="M274" s="25">
        <f>ROUND(I274-(K274-J274)-L274,2)</f>
        <v/>
      </c>
    </row>
    <row r="275">
      <c r="A275" t="n">
        <v>90</v>
      </c>
      <c r="B275" s="25">
        <f>F274</f>
        <v/>
      </c>
      <c r="C275" s="25">
        <f>IF(B275&lt;=0.005,0,ROUND(B275*Inputs!$B$8,2))</f>
        <v/>
      </c>
      <c r="D275" s="25">
        <f>IF(B275&lt;=0.005,0,MIN(Inputs!$B$7,B275+C275))</f>
        <v/>
      </c>
      <c r="E275" s="25">
        <f>IF(B275&lt;=0.005,0,IF(A275=$B$4,MIN($B$3,B275-(D275-C275)),0))</f>
        <v/>
      </c>
      <c r="F275" s="25">
        <f>ROUND(B275-(D275-C275)-E275,2)</f>
        <v/>
      </c>
      <c r="H275" t="n">
        <v>90</v>
      </c>
      <c r="I275" s="25">
        <f>M274</f>
        <v/>
      </c>
      <c r="J275" s="25">
        <f>IF(I275&lt;=0.005,0,ROUND(I275*Inputs!$C$8,2))</f>
        <v/>
      </c>
      <c r="K275" s="25">
        <f>IF(I275&lt;=0.005,0,MIN(Inputs!$C$7,I275+J275))</f>
        <v/>
      </c>
      <c r="L275" s="25">
        <f>IF(I275&lt;=0.005,0,IF(H275=$B$4,MIN($B$3,I275-(K275-J275)),0))</f>
        <v/>
      </c>
      <c r="M275" s="25">
        <f>ROUND(I275-(K275-J275)-L275,2)</f>
        <v/>
      </c>
    </row>
    <row r="276">
      <c r="A276" t="n">
        <v>91</v>
      </c>
      <c r="B276" s="25">
        <f>F275</f>
        <v/>
      </c>
      <c r="C276" s="25">
        <f>IF(B276&lt;=0.005,0,ROUND(B276*Inputs!$B$8,2))</f>
        <v/>
      </c>
      <c r="D276" s="25">
        <f>IF(B276&lt;=0.005,0,MIN(Inputs!$B$7,B276+C276))</f>
        <v/>
      </c>
      <c r="E276" s="25">
        <f>IF(B276&lt;=0.005,0,IF(A276=$B$4,MIN($B$3,B276-(D276-C276)),0))</f>
        <v/>
      </c>
      <c r="F276" s="25">
        <f>ROUND(B276-(D276-C276)-E276,2)</f>
        <v/>
      </c>
      <c r="H276" t="n">
        <v>91</v>
      </c>
      <c r="I276" s="25">
        <f>M275</f>
        <v/>
      </c>
      <c r="J276" s="25">
        <f>IF(I276&lt;=0.005,0,ROUND(I276*Inputs!$C$8,2))</f>
        <v/>
      </c>
      <c r="K276" s="25">
        <f>IF(I276&lt;=0.005,0,MIN(Inputs!$C$7,I276+J276))</f>
        <v/>
      </c>
      <c r="L276" s="25">
        <f>IF(I276&lt;=0.005,0,IF(H276=$B$4,MIN($B$3,I276-(K276-J276)),0))</f>
        <v/>
      </c>
      <c r="M276" s="25">
        <f>ROUND(I276-(K276-J276)-L276,2)</f>
        <v/>
      </c>
    </row>
    <row r="277">
      <c r="A277" t="n">
        <v>92</v>
      </c>
      <c r="B277" s="25">
        <f>F276</f>
        <v/>
      </c>
      <c r="C277" s="25">
        <f>IF(B277&lt;=0.005,0,ROUND(B277*Inputs!$B$8,2))</f>
        <v/>
      </c>
      <c r="D277" s="25">
        <f>IF(B277&lt;=0.005,0,MIN(Inputs!$B$7,B277+C277))</f>
        <v/>
      </c>
      <c r="E277" s="25">
        <f>IF(B277&lt;=0.005,0,IF(A277=$B$4,MIN($B$3,B277-(D277-C277)),0))</f>
        <v/>
      </c>
      <c r="F277" s="25">
        <f>ROUND(B277-(D277-C277)-E277,2)</f>
        <v/>
      </c>
      <c r="H277" t="n">
        <v>92</v>
      </c>
      <c r="I277" s="25">
        <f>M276</f>
        <v/>
      </c>
      <c r="J277" s="25">
        <f>IF(I277&lt;=0.005,0,ROUND(I277*Inputs!$C$8,2))</f>
        <v/>
      </c>
      <c r="K277" s="25">
        <f>IF(I277&lt;=0.005,0,MIN(Inputs!$C$7,I277+J277))</f>
        <v/>
      </c>
      <c r="L277" s="25">
        <f>IF(I277&lt;=0.005,0,IF(H277=$B$4,MIN($B$3,I277-(K277-J277)),0))</f>
        <v/>
      </c>
      <c r="M277" s="25">
        <f>ROUND(I277-(K277-J277)-L277,2)</f>
        <v/>
      </c>
    </row>
    <row r="278">
      <c r="A278" t="n">
        <v>93</v>
      </c>
      <c r="B278" s="25">
        <f>F277</f>
        <v/>
      </c>
      <c r="C278" s="25">
        <f>IF(B278&lt;=0.005,0,ROUND(B278*Inputs!$B$8,2))</f>
        <v/>
      </c>
      <c r="D278" s="25">
        <f>IF(B278&lt;=0.005,0,MIN(Inputs!$B$7,B278+C278))</f>
        <v/>
      </c>
      <c r="E278" s="25">
        <f>IF(B278&lt;=0.005,0,IF(A278=$B$4,MIN($B$3,B278-(D278-C278)),0))</f>
        <v/>
      </c>
      <c r="F278" s="25">
        <f>ROUND(B278-(D278-C278)-E278,2)</f>
        <v/>
      </c>
      <c r="H278" t="n">
        <v>93</v>
      </c>
      <c r="I278" s="25">
        <f>M277</f>
        <v/>
      </c>
      <c r="J278" s="25">
        <f>IF(I278&lt;=0.005,0,ROUND(I278*Inputs!$C$8,2))</f>
        <v/>
      </c>
      <c r="K278" s="25">
        <f>IF(I278&lt;=0.005,0,MIN(Inputs!$C$7,I278+J278))</f>
        <v/>
      </c>
      <c r="L278" s="25">
        <f>IF(I278&lt;=0.005,0,IF(H278=$B$4,MIN($B$3,I278-(K278-J278)),0))</f>
        <v/>
      </c>
      <c r="M278" s="25">
        <f>ROUND(I278-(K278-J278)-L278,2)</f>
        <v/>
      </c>
    </row>
    <row r="279">
      <c r="A279" t="n">
        <v>94</v>
      </c>
      <c r="B279" s="25">
        <f>F278</f>
        <v/>
      </c>
      <c r="C279" s="25">
        <f>IF(B279&lt;=0.005,0,ROUND(B279*Inputs!$B$8,2))</f>
        <v/>
      </c>
      <c r="D279" s="25">
        <f>IF(B279&lt;=0.005,0,MIN(Inputs!$B$7,B279+C279))</f>
        <v/>
      </c>
      <c r="E279" s="25">
        <f>IF(B279&lt;=0.005,0,IF(A279=$B$4,MIN($B$3,B279-(D279-C279)),0))</f>
        <v/>
      </c>
      <c r="F279" s="25">
        <f>ROUND(B279-(D279-C279)-E279,2)</f>
        <v/>
      </c>
      <c r="H279" t="n">
        <v>94</v>
      </c>
      <c r="I279" s="25">
        <f>M278</f>
        <v/>
      </c>
      <c r="J279" s="25">
        <f>IF(I279&lt;=0.005,0,ROUND(I279*Inputs!$C$8,2))</f>
        <v/>
      </c>
      <c r="K279" s="25">
        <f>IF(I279&lt;=0.005,0,MIN(Inputs!$C$7,I279+J279))</f>
        <v/>
      </c>
      <c r="L279" s="25">
        <f>IF(I279&lt;=0.005,0,IF(H279=$B$4,MIN($B$3,I279-(K279-J279)),0))</f>
        <v/>
      </c>
      <c r="M279" s="25">
        <f>ROUND(I279-(K279-J279)-L279,2)</f>
        <v/>
      </c>
    </row>
    <row r="280">
      <c r="A280" t="n">
        <v>95</v>
      </c>
      <c r="B280" s="25">
        <f>F279</f>
        <v/>
      </c>
      <c r="C280" s="25">
        <f>IF(B280&lt;=0.005,0,ROUND(B280*Inputs!$B$8,2))</f>
        <v/>
      </c>
      <c r="D280" s="25">
        <f>IF(B280&lt;=0.005,0,MIN(Inputs!$B$7,B280+C280))</f>
        <v/>
      </c>
      <c r="E280" s="25">
        <f>IF(B280&lt;=0.005,0,IF(A280=$B$4,MIN($B$3,B280-(D280-C280)),0))</f>
        <v/>
      </c>
      <c r="F280" s="25">
        <f>ROUND(B280-(D280-C280)-E280,2)</f>
        <v/>
      </c>
      <c r="H280" t="n">
        <v>95</v>
      </c>
      <c r="I280" s="25">
        <f>M279</f>
        <v/>
      </c>
      <c r="J280" s="25">
        <f>IF(I280&lt;=0.005,0,ROUND(I280*Inputs!$C$8,2))</f>
        <v/>
      </c>
      <c r="K280" s="25">
        <f>IF(I280&lt;=0.005,0,MIN(Inputs!$C$7,I280+J280))</f>
        <v/>
      </c>
      <c r="L280" s="25">
        <f>IF(I280&lt;=0.005,0,IF(H280=$B$4,MIN($B$3,I280-(K280-J280)),0))</f>
        <v/>
      </c>
      <c r="M280" s="25">
        <f>ROUND(I280-(K280-J280)-L280,2)</f>
        <v/>
      </c>
    </row>
    <row r="281">
      <c r="A281" t="n">
        <v>96</v>
      </c>
      <c r="B281" s="25">
        <f>F280</f>
        <v/>
      </c>
      <c r="C281" s="25">
        <f>IF(B281&lt;=0.005,0,ROUND(B281*Inputs!$B$8,2))</f>
        <v/>
      </c>
      <c r="D281" s="25">
        <f>IF(B281&lt;=0.005,0,MIN(Inputs!$B$7,B281+C281))</f>
        <v/>
      </c>
      <c r="E281" s="25">
        <f>IF(B281&lt;=0.005,0,IF(A281=$B$4,MIN($B$3,B281-(D281-C281)),0))</f>
        <v/>
      </c>
      <c r="F281" s="25">
        <f>ROUND(B281-(D281-C281)-E281,2)</f>
        <v/>
      </c>
      <c r="H281" t="n">
        <v>96</v>
      </c>
      <c r="I281" s="25">
        <f>M280</f>
        <v/>
      </c>
      <c r="J281" s="25">
        <f>IF(I281&lt;=0.005,0,ROUND(I281*Inputs!$C$8,2))</f>
        <v/>
      </c>
      <c r="K281" s="25">
        <f>IF(I281&lt;=0.005,0,MIN(Inputs!$C$7,I281+J281))</f>
        <v/>
      </c>
      <c r="L281" s="25">
        <f>IF(I281&lt;=0.005,0,IF(H281=$B$4,MIN($B$3,I281-(K281-J281)),0))</f>
        <v/>
      </c>
      <c r="M281" s="25">
        <f>ROUND(I281-(K281-J281)-L281,2)</f>
        <v/>
      </c>
    </row>
    <row r="282">
      <c r="A282" t="n">
        <v>97</v>
      </c>
      <c r="B282" s="25">
        <f>F281</f>
        <v/>
      </c>
      <c r="C282" s="25">
        <f>IF(B282&lt;=0.005,0,ROUND(B282*Inputs!$B$8,2))</f>
        <v/>
      </c>
      <c r="D282" s="25">
        <f>IF(B282&lt;=0.005,0,MIN(Inputs!$B$7,B282+C282))</f>
        <v/>
      </c>
      <c r="E282" s="25">
        <f>IF(B282&lt;=0.005,0,IF(A282=$B$4,MIN($B$3,B282-(D282-C282)),0))</f>
        <v/>
      </c>
      <c r="F282" s="25">
        <f>ROUND(B282-(D282-C282)-E282,2)</f>
        <v/>
      </c>
      <c r="H282" t="n">
        <v>97</v>
      </c>
      <c r="I282" s="25">
        <f>M281</f>
        <v/>
      </c>
      <c r="J282" s="25">
        <f>IF(I282&lt;=0.005,0,ROUND(I282*Inputs!$C$8,2))</f>
        <v/>
      </c>
      <c r="K282" s="25">
        <f>IF(I282&lt;=0.005,0,MIN(Inputs!$C$7,I282+J282))</f>
        <v/>
      </c>
      <c r="L282" s="25">
        <f>IF(I282&lt;=0.005,0,IF(H282=$B$4,MIN($B$3,I282-(K282-J282)),0))</f>
        <v/>
      </c>
      <c r="M282" s="25">
        <f>ROUND(I282-(K282-J282)-L282,2)</f>
        <v/>
      </c>
    </row>
    <row r="283">
      <c r="A283" t="n">
        <v>98</v>
      </c>
      <c r="B283" s="25">
        <f>F282</f>
        <v/>
      </c>
      <c r="C283" s="25">
        <f>IF(B283&lt;=0.005,0,ROUND(B283*Inputs!$B$8,2))</f>
        <v/>
      </c>
      <c r="D283" s="25">
        <f>IF(B283&lt;=0.005,0,MIN(Inputs!$B$7,B283+C283))</f>
        <v/>
      </c>
      <c r="E283" s="25">
        <f>IF(B283&lt;=0.005,0,IF(A283=$B$4,MIN($B$3,B283-(D283-C283)),0))</f>
        <v/>
      </c>
      <c r="F283" s="25">
        <f>ROUND(B283-(D283-C283)-E283,2)</f>
        <v/>
      </c>
      <c r="H283" t="n">
        <v>98</v>
      </c>
      <c r="I283" s="25">
        <f>M282</f>
        <v/>
      </c>
      <c r="J283" s="25">
        <f>IF(I283&lt;=0.005,0,ROUND(I283*Inputs!$C$8,2))</f>
        <v/>
      </c>
      <c r="K283" s="25">
        <f>IF(I283&lt;=0.005,0,MIN(Inputs!$C$7,I283+J283))</f>
        <v/>
      </c>
      <c r="L283" s="25">
        <f>IF(I283&lt;=0.005,0,IF(H283=$B$4,MIN($B$3,I283-(K283-J283)),0))</f>
        <v/>
      </c>
      <c r="M283" s="25">
        <f>ROUND(I283-(K283-J283)-L283,2)</f>
        <v/>
      </c>
    </row>
    <row r="284">
      <c r="A284" t="n">
        <v>99</v>
      </c>
      <c r="B284" s="25">
        <f>F283</f>
        <v/>
      </c>
      <c r="C284" s="25">
        <f>IF(B284&lt;=0.005,0,ROUND(B284*Inputs!$B$8,2))</f>
        <v/>
      </c>
      <c r="D284" s="25">
        <f>IF(B284&lt;=0.005,0,MIN(Inputs!$B$7,B284+C284))</f>
        <v/>
      </c>
      <c r="E284" s="25">
        <f>IF(B284&lt;=0.005,0,IF(A284=$B$4,MIN($B$3,B284-(D284-C284)),0))</f>
        <v/>
      </c>
      <c r="F284" s="25">
        <f>ROUND(B284-(D284-C284)-E284,2)</f>
        <v/>
      </c>
      <c r="H284" t="n">
        <v>99</v>
      </c>
      <c r="I284" s="25">
        <f>M283</f>
        <v/>
      </c>
      <c r="J284" s="25">
        <f>IF(I284&lt;=0.005,0,ROUND(I284*Inputs!$C$8,2))</f>
        <v/>
      </c>
      <c r="K284" s="25">
        <f>IF(I284&lt;=0.005,0,MIN(Inputs!$C$7,I284+J284))</f>
        <v/>
      </c>
      <c r="L284" s="25">
        <f>IF(I284&lt;=0.005,0,IF(H284=$B$4,MIN($B$3,I284-(K284-J284)),0))</f>
        <v/>
      </c>
      <c r="M284" s="25">
        <f>ROUND(I284-(K284-J284)-L284,2)</f>
        <v/>
      </c>
    </row>
    <row r="285">
      <c r="A285" t="n">
        <v>100</v>
      </c>
      <c r="B285" s="25">
        <f>F284</f>
        <v/>
      </c>
      <c r="C285" s="25">
        <f>IF(B285&lt;=0.005,0,ROUND(B285*Inputs!$B$8,2))</f>
        <v/>
      </c>
      <c r="D285" s="25">
        <f>IF(B285&lt;=0.005,0,MIN(Inputs!$B$7,B285+C285))</f>
        <v/>
      </c>
      <c r="E285" s="25">
        <f>IF(B285&lt;=0.005,0,IF(A285=$B$4,MIN($B$3,B285-(D285-C285)),0))</f>
        <v/>
      </c>
      <c r="F285" s="25">
        <f>ROUND(B285-(D285-C285)-E285,2)</f>
        <v/>
      </c>
      <c r="H285" t="n">
        <v>100</v>
      </c>
      <c r="I285" s="25">
        <f>M284</f>
        <v/>
      </c>
      <c r="J285" s="25">
        <f>IF(I285&lt;=0.005,0,ROUND(I285*Inputs!$C$8,2))</f>
        <v/>
      </c>
      <c r="K285" s="25">
        <f>IF(I285&lt;=0.005,0,MIN(Inputs!$C$7,I285+J285))</f>
        <v/>
      </c>
      <c r="L285" s="25">
        <f>IF(I285&lt;=0.005,0,IF(H285=$B$4,MIN($B$3,I285-(K285-J285)),0))</f>
        <v/>
      </c>
      <c r="M285" s="25">
        <f>ROUND(I285-(K285-J285)-L285,2)</f>
        <v/>
      </c>
    </row>
    <row r="286">
      <c r="A286" t="n">
        <v>101</v>
      </c>
      <c r="B286" s="25">
        <f>F285</f>
        <v/>
      </c>
      <c r="C286" s="25">
        <f>IF(B286&lt;=0.005,0,ROUND(B286*Inputs!$B$8,2))</f>
        <v/>
      </c>
      <c r="D286" s="25">
        <f>IF(B286&lt;=0.005,0,MIN(Inputs!$B$7,B286+C286))</f>
        <v/>
      </c>
      <c r="E286" s="25">
        <f>IF(B286&lt;=0.005,0,IF(A286=$B$4,MIN($B$3,B286-(D286-C286)),0))</f>
        <v/>
      </c>
      <c r="F286" s="25">
        <f>ROUND(B286-(D286-C286)-E286,2)</f>
        <v/>
      </c>
      <c r="H286" t="n">
        <v>101</v>
      </c>
      <c r="I286" s="25">
        <f>M285</f>
        <v/>
      </c>
      <c r="J286" s="25">
        <f>IF(I286&lt;=0.005,0,ROUND(I286*Inputs!$C$8,2))</f>
        <v/>
      </c>
      <c r="K286" s="25">
        <f>IF(I286&lt;=0.005,0,MIN(Inputs!$C$7,I286+J286))</f>
        <v/>
      </c>
      <c r="L286" s="25">
        <f>IF(I286&lt;=0.005,0,IF(H286=$B$4,MIN($B$3,I286-(K286-J286)),0))</f>
        <v/>
      </c>
      <c r="M286" s="25">
        <f>ROUND(I286-(K286-J286)-L286,2)</f>
        <v/>
      </c>
    </row>
    <row r="287">
      <c r="A287" t="n">
        <v>102</v>
      </c>
      <c r="B287" s="25">
        <f>F286</f>
        <v/>
      </c>
      <c r="C287" s="25">
        <f>IF(B287&lt;=0.005,0,ROUND(B287*Inputs!$B$8,2))</f>
        <v/>
      </c>
      <c r="D287" s="25">
        <f>IF(B287&lt;=0.005,0,MIN(Inputs!$B$7,B287+C287))</f>
        <v/>
      </c>
      <c r="E287" s="25">
        <f>IF(B287&lt;=0.005,0,IF(A287=$B$4,MIN($B$3,B287-(D287-C287)),0))</f>
        <v/>
      </c>
      <c r="F287" s="25">
        <f>ROUND(B287-(D287-C287)-E287,2)</f>
        <v/>
      </c>
      <c r="H287" t="n">
        <v>102</v>
      </c>
      <c r="I287" s="25">
        <f>M286</f>
        <v/>
      </c>
      <c r="J287" s="25">
        <f>IF(I287&lt;=0.005,0,ROUND(I287*Inputs!$C$8,2))</f>
        <v/>
      </c>
      <c r="K287" s="25">
        <f>IF(I287&lt;=0.005,0,MIN(Inputs!$C$7,I287+J287))</f>
        <v/>
      </c>
      <c r="L287" s="25">
        <f>IF(I287&lt;=0.005,0,IF(H287=$B$4,MIN($B$3,I287-(K287-J287)),0))</f>
        <v/>
      </c>
      <c r="M287" s="25">
        <f>ROUND(I287-(K287-J287)-L287,2)</f>
        <v/>
      </c>
    </row>
    <row r="288">
      <c r="A288" t="n">
        <v>103</v>
      </c>
      <c r="B288" s="25">
        <f>F287</f>
        <v/>
      </c>
      <c r="C288" s="25">
        <f>IF(B288&lt;=0.005,0,ROUND(B288*Inputs!$B$8,2))</f>
        <v/>
      </c>
      <c r="D288" s="25">
        <f>IF(B288&lt;=0.005,0,MIN(Inputs!$B$7,B288+C288))</f>
        <v/>
      </c>
      <c r="E288" s="25">
        <f>IF(B288&lt;=0.005,0,IF(A288=$B$4,MIN($B$3,B288-(D288-C288)),0))</f>
        <v/>
      </c>
      <c r="F288" s="25">
        <f>ROUND(B288-(D288-C288)-E288,2)</f>
        <v/>
      </c>
      <c r="H288" t="n">
        <v>103</v>
      </c>
      <c r="I288" s="25">
        <f>M287</f>
        <v/>
      </c>
      <c r="J288" s="25">
        <f>IF(I288&lt;=0.005,0,ROUND(I288*Inputs!$C$8,2))</f>
        <v/>
      </c>
      <c r="K288" s="25">
        <f>IF(I288&lt;=0.005,0,MIN(Inputs!$C$7,I288+J288))</f>
        <v/>
      </c>
      <c r="L288" s="25">
        <f>IF(I288&lt;=0.005,0,IF(H288=$B$4,MIN($B$3,I288-(K288-J288)),0))</f>
        <v/>
      </c>
      <c r="M288" s="25">
        <f>ROUND(I288-(K288-J288)-L288,2)</f>
        <v/>
      </c>
    </row>
    <row r="289">
      <c r="A289" t="n">
        <v>104</v>
      </c>
      <c r="B289" s="25">
        <f>F288</f>
        <v/>
      </c>
      <c r="C289" s="25">
        <f>IF(B289&lt;=0.005,0,ROUND(B289*Inputs!$B$8,2))</f>
        <v/>
      </c>
      <c r="D289" s="25">
        <f>IF(B289&lt;=0.005,0,MIN(Inputs!$B$7,B289+C289))</f>
        <v/>
      </c>
      <c r="E289" s="25">
        <f>IF(B289&lt;=0.005,0,IF(A289=$B$4,MIN($B$3,B289-(D289-C289)),0))</f>
        <v/>
      </c>
      <c r="F289" s="25">
        <f>ROUND(B289-(D289-C289)-E289,2)</f>
        <v/>
      </c>
      <c r="H289" t="n">
        <v>104</v>
      </c>
      <c r="I289" s="25">
        <f>M288</f>
        <v/>
      </c>
      <c r="J289" s="25">
        <f>IF(I289&lt;=0.005,0,ROUND(I289*Inputs!$C$8,2))</f>
        <v/>
      </c>
      <c r="K289" s="25">
        <f>IF(I289&lt;=0.005,0,MIN(Inputs!$C$7,I289+J289))</f>
        <v/>
      </c>
      <c r="L289" s="25">
        <f>IF(I289&lt;=0.005,0,IF(H289=$B$4,MIN($B$3,I289-(K289-J289)),0))</f>
        <v/>
      </c>
      <c r="M289" s="25">
        <f>ROUND(I289-(K289-J289)-L289,2)</f>
        <v/>
      </c>
    </row>
    <row r="290">
      <c r="A290" t="n">
        <v>105</v>
      </c>
      <c r="B290" s="25">
        <f>F289</f>
        <v/>
      </c>
      <c r="C290" s="25">
        <f>IF(B290&lt;=0.005,0,ROUND(B290*Inputs!$B$8,2))</f>
        <v/>
      </c>
      <c r="D290" s="25">
        <f>IF(B290&lt;=0.005,0,MIN(Inputs!$B$7,B290+C290))</f>
        <v/>
      </c>
      <c r="E290" s="25">
        <f>IF(B290&lt;=0.005,0,IF(A290=$B$4,MIN($B$3,B290-(D290-C290)),0))</f>
        <v/>
      </c>
      <c r="F290" s="25">
        <f>ROUND(B290-(D290-C290)-E290,2)</f>
        <v/>
      </c>
      <c r="H290" t="n">
        <v>105</v>
      </c>
      <c r="I290" s="25">
        <f>M289</f>
        <v/>
      </c>
      <c r="J290" s="25">
        <f>IF(I290&lt;=0.005,0,ROUND(I290*Inputs!$C$8,2))</f>
        <v/>
      </c>
      <c r="K290" s="25">
        <f>IF(I290&lt;=0.005,0,MIN(Inputs!$C$7,I290+J290))</f>
        <v/>
      </c>
      <c r="L290" s="25">
        <f>IF(I290&lt;=0.005,0,IF(H290=$B$4,MIN($B$3,I290-(K290-J290)),0))</f>
        <v/>
      </c>
      <c r="M290" s="25">
        <f>ROUND(I290-(K290-J290)-L290,2)</f>
        <v/>
      </c>
    </row>
    <row r="291">
      <c r="A291" t="n">
        <v>106</v>
      </c>
      <c r="B291" s="25">
        <f>F290</f>
        <v/>
      </c>
      <c r="C291" s="25">
        <f>IF(B291&lt;=0.005,0,ROUND(B291*Inputs!$B$8,2))</f>
        <v/>
      </c>
      <c r="D291" s="25">
        <f>IF(B291&lt;=0.005,0,MIN(Inputs!$B$7,B291+C291))</f>
        <v/>
      </c>
      <c r="E291" s="25">
        <f>IF(B291&lt;=0.005,0,IF(A291=$B$4,MIN($B$3,B291-(D291-C291)),0))</f>
        <v/>
      </c>
      <c r="F291" s="25">
        <f>ROUND(B291-(D291-C291)-E291,2)</f>
        <v/>
      </c>
      <c r="H291" t="n">
        <v>106</v>
      </c>
      <c r="I291" s="25">
        <f>M290</f>
        <v/>
      </c>
      <c r="J291" s="25">
        <f>IF(I291&lt;=0.005,0,ROUND(I291*Inputs!$C$8,2))</f>
        <v/>
      </c>
      <c r="K291" s="25">
        <f>IF(I291&lt;=0.005,0,MIN(Inputs!$C$7,I291+J291))</f>
        <v/>
      </c>
      <c r="L291" s="25">
        <f>IF(I291&lt;=0.005,0,IF(H291=$B$4,MIN($B$3,I291-(K291-J291)),0))</f>
        <v/>
      </c>
      <c r="M291" s="25">
        <f>ROUND(I291-(K291-J291)-L291,2)</f>
        <v/>
      </c>
    </row>
    <row r="292">
      <c r="A292" t="n">
        <v>107</v>
      </c>
      <c r="B292" s="25">
        <f>F291</f>
        <v/>
      </c>
      <c r="C292" s="25">
        <f>IF(B292&lt;=0.005,0,ROUND(B292*Inputs!$B$8,2))</f>
        <v/>
      </c>
      <c r="D292" s="25">
        <f>IF(B292&lt;=0.005,0,MIN(Inputs!$B$7,B292+C292))</f>
        <v/>
      </c>
      <c r="E292" s="25">
        <f>IF(B292&lt;=0.005,0,IF(A292=$B$4,MIN($B$3,B292-(D292-C292)),0))</f>
        <v/>
      </c>
      <c r="F292" s="25">
        <f>ROUND(B292-(D292-C292)-E292,2)</f>
        <v/>
      </c>
      <c r="H292" t="n">
        <v>107</v>
      </c>
      <c r="I292" s="25">
        <f>M291</f>
        <v/>
      </c>
      <c r="J292" s="25">
        <f>IF(I292&lt;=0.005,0,ROUND(I292*Inputs!$C$8,2))</f>
        <v/>
      </c>
      <c r="K292" s="25">
        <f>IF(I292&lt;=0.005,0,MIN(Inputs!$C$7,I292+J292))</f>
        <v/>
      </c>
      <c r="L292" s="25">
        <f>IF(I292&lt;=0.005,0,IF(H292=$B$4,MIN($B$3,I292-(K292-J292)),0))</f>
        <v/>
      </c>
      <c r="M292" s="25">
        <f>ROUND(I292-(K292-J292)-L292,2)</f>
        <v/>
      </c>
    </row>
    <row r="293">
      <c r="A293" t="n">
        <v>108</v>
      </c>
      <c r="B293" s="25">
        <f>F292</f>
        <v/>
      </c>
      <c r="C293" s="25">
        <f>IF(B293&lt;=0.005,0,ROUND(B293*Inputs!$B$8,2))</f>
        <v/>
      </c>
      <c r="D293" s="25">
        <f>IF(B293&lt;=0.005,0,MIN(Inputs!$B$7,B293+C293))</f>
        <v/>
      </c>
      <c r="E293" s="25">
        <f>IF(B293&lt;=0.005,0,IF(A293=$B$4,MIN($B$3,B293-(D293-C293)),0))</f>
        <v/>
      </c>
      <c r="F293" s="25">
        <f>ROUND(B293-(D293-C293)-E293,2)</f>
        <v/>
      </c>
      <c r="H293" t="n">
        <v>108</v>
      </c>
      <c r="I293" s="25">
        <f>M292</f>
        <v/>
      </c>
      <c r="J293" s="25">
        <f>IF(I293&lt;=0.005,0,ROUND(I293*Inputs!$C$8,2))</f>
        <v/>
      </c>
      <c r="K293" s="25">
        <f>IF(I293&lt;=0.005,0,MIN(Inputs!$C$7,I293+J293))</f>
        <v/>
      </c>
      <c r="L293" s="25">
        <f>IF(I293&lt;=0.005,0,IF(H293=$B$4,MIN($B$3,I293-(K293-J293)),0))</f>
        <v/>
      </c>
      <c r="M293" s="25">
        <f>ROUND(I293-(K293-J293)-L293,2)</f>
        <v/>
      </c>
    </row>
    <row r="294">
      <c r="A294" t="n">
        <v>109</v>
      </c>
      <c r="B294" s="25">
        <f>F293</f>
        <v/>
      </c>
      <c r="C294" s="25">
        <f>IF(B294&lt;=0.005,0,ROUND(B294*Inputs!$B$8,2))</f>
        <v/>
      </c>
      <c r="D294" s="25">
        <f>IF(B294&lt;=0.005,0,MIN(Inputs!$B$7,B294+C294))</f>
        <v/>
      </c>
      <c r="E294" s="25">
        <f>IF(B294&lt;=0.005,0,IF(A294=$B$4,MIN($B$3,B294-(D294-C294)),0))</f>
        <v/>
      </c>
      <c r="F294" s="25">
        <f>ROUND(B294-(D294-C294)-E294,2)</f>
        <v/>
      </c>
      <c r="H294" t="n">
        <v>109</v>
      </c>
      <c r="I294" s="25">
        <f>M293</f>
        <v/>
      </c>
      <c r="J294" s="25">
        <f>IF(I294&lt;=0.005,0,ROUND(I294*Inputs!$C$8,2))</f>
        <v/>
      </c>
      <c r="K294" s="25">
        <f>IF(I294&lt;=0.005,0,MIN(Inputs!$C$7,I294+J294))</f>
        <v/>
      </c>
      <c r="L294" s="25">
        <f>IF(I294&lt;=0.005,0,IF(H294=$B$4,MIN($B$3,I294-(K294-J294)),0))</f>
        <v/>
      </c>
      <c r="M294" s="25">
        <f>ROUND(I294-(K294-J294)-L294,2)</f>
        <v/>
      </c>
    </row>
    <row r="295">
      <c r="A295" t="n">
        <v>110</v>
      </c>
      <c r="B295" s="25">
        <f>F294</f>
        <v/>
      </c>
      <c r="C295" s="25">
        <f>IF(B295&lt;=0.005,0,ROUND(B295*Inputs!$B$8,2))</f>
        <v/>
      </c>
      <c r="D295" s="25">
        <f>IF(B295&lt;=0.005,0,MIN(Inputs!$B$7,B295+C295))</f>
        <v/>
      </c>
      <c r="E295" s="25">
        <f>IF(B295&lt;=0.005,0,IF(A295=$B$4,MIN($B$3,B295-(D295-C295)),0))</f>
        <v/>
      </c>
      <c r="F295" s="25">
        <f>ROUND(B295-(D295-C295)-E295,2)</f>
        <v/>
      </c>
      <c r="H295" t="n">
        <v>110</v>
      </c>
      <c r="I295" s="25">
        <f>M294</f>
        <v/>
      </c>
      <c r="J295" s="25">
        <f>IF(I295&lt;=0.005,0,ROUND(I295*Inputs!$C$8,2))</f>
        <v/>
      </c>
      <c r="K295" s="25">
        <f>IF(I295&lt;=0.005,0,MIN(Inputs!$C$7,I295+J295))</f>
        <v/>
      </c>
      <c r="L295" s="25">
        <f>IF(I295&lt;=0.005,0,IF(H295=$B$4,MIN($B$3,I295-(K295-J295)),0))</f>
        <v/>
      </c>
      <c r="M295" s="25">
        <f>ROUND(I295-(K295-J295)-L295,2)</f>
        <v/>
      </c>
    </row>
    <row r="296">
      <c r="A296" t="n">
        <v>111</v>
      </c>
      <c r="B296" s="25">
        <f>F295</f>
        <v/>
      </c>
      <c r="C296" s="25">
        <f>IF(B296&lt;=0.005,0,ROUND(B296*Inputs!$B$8,2))</f>
        <v/>
      </c>
      <c r="D296" s="25">
        <f>IF(B296&lt;=0.005,0,MIN(Inputs!$B$7,B296+C296))</f>
        <v/>
      </c>
      <c r="E296" s="25">
        <f>IF(B296&lt;=0.005,0,IF(A296=$B$4,MIN($B$3,B296-(D296-C296)),0))</f>
        <v/>
      </c>
      <c r="F296" s="25">
        <f>ROUND(B296-(D296-C296)-E296,2)</f>
        <v/>
      </c>
      <c r="H296" t="n">
        <v>111</v>
      </c>
      <c r="I296" s="25">
        <f>M295</f>
        <v/>
      </c>
      <c r="J296" s="25">
        <f>IF(I296&lt;=0.005,0,ROUND(I296*Inputs!$C$8,2))</f>
        <v/>
      </c>
      <c r="K296" s="25">
        <f>IF(I296&lt;=0.005,0,MIN(Inputs!$C$7,I296+J296))</f>
        <v/>
      </c>
      <c r="L296" s="25">
        <f>IF(I296&lt;=0.005,0,IF(H296=$B$4,MIN($B$3,I296-(K296-J296)),0))</f>
        <v/>
      </c>
      <c r="M296" s="25">
        <f>ROUND(I296-(K296-J296)-L296,2)</f>
        <v/>
      </c>
    </row>
    <row r="297">
      <c r="A297" t="n">
        <v>112</v>
      </c>
      <c r="B297" s="25">
        <f>F296</f>
        <v/>
      </c>
      <c r="C297" s="25">
        <f>IF(B297&lt;=0.005,0,ROUND(B297*Inputs!$B$8,2))</f>
        <v/>
      </c>
      <c r="D297" s="25">
        <f>IF(B297&lt;=0.005,0,MIN(Inputs!$B$7,B297+C297))</f>
        <v/>
      </c>
      <c r="E297" s="25">
        <f>IF(B297&lt;=0.005,0,IF(A297=$B$4,MIN($B$3,B297-(D297-C297)),0))</f>
        <v/>
      </c>
      <c r="F297" s="25">
        <f>ROUND(B297-(D297-C297)-E297,2)</f>
        <v/>
      </c>
      <c r="H297" t="n">
        <v>112</v>
      </c>
      <c r="I297" s="25">
        <f>M296</f>
        <v/>
      </c>
      <c r="J297" s="25">
        <f>IF(I297&lt;=0.005,0,ROUND(I297*Inputs!$C$8,2))</f>
        <v/>
      </c>
      <c r="K297" s="25">
        <f>IF(I297&lt;=0.005,0,MIN(Inputs!$C$7,I297+J297))</f>
        <v/>
      </c>
      <c r="L297" s="25">
        <f>IF(I297&lt;=0.005,0,IF(H297=$B$4,MIN($B$3,I297-(K297-J297)),0))</f>
        <v/>
      </c>
      <c r="M297" s="25">
        <f>ROUND(I297-(K297-J297)-L297,2)</f>
        <v/>
      </c>
    </row>
    <row r="298">
      <c r="A298" t="n">
        <v>113</v>
      </c>
      <c r="B298" s="25">
        <f>F297</f>
        <v/>
      </c>
      <c r="C298" s="25">
        <f>IF(B298&lt;=0.005,0,ROUND(B298*Inputs!$B$8,2))</f>
        <v/>
      </c>
      <c r="D298" s="25">
        <f>IF(B298&lt;=0.005,0,MIN(Inputs!$B$7,B298+C298))</f>
        <v/>
      </c>
      <c r="E298" s="25">
        <f>IF(B298&lt;=0.005,0,IF(A298=$B$4,MIN($B$3,B298-(D298-C298)),0))</f>
        <v/>
      </c>
      <c r="F298" s="25">
        <f>ROUND(B298-(D298-C298)-E298,2)</f>
        <v/>
      </c>
      <c r="H298" t="n">
        <v>113</v>
      </c>
      <c r="I298" s="25">
        <f>M297</f>
        <v/>
      </c>
      <c r="J298" s="25">
        <f>IF(I298&lt;=0.005,0,ROUND(I298*Inputs!$C$8,2))</f>
        <v/>
      </c>
      <c r="K298" s="25">
        <f>IF(I298&lt;=0.005,0,MIN(Inputs!$C$7,I298+J298))</f>
        <v/>
      </c>
      <c r="L298" s="25">
        <f>IF(I298&lt;=0.005,0,IF(H298=$B$4,MIN($B$3,I298-(K298-J298)),0))</f>
        <v/>
      </c>
      <c r="M298" s="25">
        <f>ROUND(I298-(K298-J298)-L298,2)</f>
        <v/>
      </c>
    </row>
    <row r="299">
      <c r="A299" t="n">
        <v>114</v>
      </c>
      <c r="B299" s="25">
        <f>F298</f>
        <v/>
      </c>
      <c r="C299" s="25">
        <f>IF(B299&lt;=0.005,0,ROUND(B299*Inputs!$B$8,2))</f>
        <v/>
      </c>
      <c r="D299" s="25">
        <f>IF(B299&lt;=0.005,0,MIN(Inputs!$B$7,B299+C299))</f>
        <v/>
      </c>
      <c r="E299" s="25">
        <f>IF(B299&lt;=0.005,0,IF(A299=$B$4,MIN($B$3,B299-(D299-C299)),0))</f>
        <v/>
      </c>
      <c r="F299" s="25">
        <f>ROUND(B299-(D299-C299)-E299,2)</f>
        <v/>
      </c>
      <c r="H299" t="n">
        <v>114</v>
      </c>
      <c r="I299" s="25">
        <f>M298</f>
        <v/>
      </c>
      <c r="J299" s="25">
        <f>IF(I299&lt;=0.005,0,ROUND(I299*Inputs!$C$8,2))</f>
        <v/>
      </c>
      <c r="K299" s="25">
        <f>IF(I299&lt;=0.005,0,MIN(Inputs!$C$7,I299+J299))</f>
        <v/>
      </c>
      <c r="L299" s="25">
        <f>IF(I299&lt;=0.005,0,IF(H299=$B$4,MIN($B$3,I299-(K299-J299)),0))</f>
        <v/>
      </c>
      <c r="M299" s="25">
        <f>ROUND(I299-(K299-J299)-L299,2)</f>
        <v/>
      </c>
    </row>
    <row r="300">
      <c r="A300" t="n">
        <v>115</v>
      </c>
      <c r="B300" s="25">
        <f>F299</f>
        <v/>
      </c>
      <c r="C300" s="25">
        <f>IF(B300&lt;=0.005,0,ROUND(B300*Inputs!$B$8,2))</f>
        <v/>
      </c>
      <c r="D300" s="25">
        <f>IF(B300&lt;=0.005,0,MIN(Inputs!$B$7,B300+C300))</f>
        <v/>
      </c>
      <c r="E300" s="25">
        <f>IF(B300&lt;=0.005,0,IF(A300=$B$4,MIN($B$3,B300-(D300-C300)),0))</f>
        <v/>
      </c>
      <c r="F300" s="25">
        <f>ROUND(B300-(D300-C300)-E300,2)</f>
        <v/>
      </c>
      <c r="H300" t="n">
        <v>115</v>
      </c>
      <c r="I300" s="25">
        <f>M299</f>
        <v/>
      </c>
      <c r="J300" s="25">
        <f>IF(I300&lt;=0.005,0,ROUND(I300*Inputs!$C$8,2))</f>
        <v/>
      </c>
      <c r="K300" s="25">
        <f>IF(I300&lt;=0.005,0,MIN(Inputs!$C$7,I300+J300))</f>
        <v/>
      </c>
      <c r="L300" s="25">
        <f>IF(I300&lt;=0.005,0,IF(H300=$B$4,MIN($B$3,I300-(K300-J300)),0))</f>
        <v/>
      </c>
      <c r="M300" s="25">
        <f>ROUND(I300-(K300-J300)-L300,2)</f>
        <v/>
      </c>
    </row>
    <row r="301">
      <c r="A301" t="n">
        <v>116</v>
      </c>
      <c r="B301" s="25">
        <f>F300</f>
        <v/>
      </c>
      <c r="C301" s="25">
        <f>IF(B301&lt;=0.005,0,ROUND(B301*Inputs!$B$8,2))</f>
        <v/>
      </c>
      <c r="D301" s="25">
        <f>IF(B301&lt;=0.005,0,MIN(Inputs!$B$7,B301+C301))</f>
        <v/>
      </c>
      <c r="E301" s="25">
        <f>IF(B301&lt;=0.005,0,IF(A301=$B$4,MIN($B$3,B301-(D301-C301)),0))</f>
        <v/>
      </c>
      <c r="F301" s="25">
        <f>ROUND(B301-(D301-C301)-E301,2)</f>
        <v/>
      </c>
      <c r="H301" t="n">
        <v>116</v>
      </c>
      <c r="I301" s="25">
        <f>M300</f>
        <v/>
      </c>
      <c r="J301" s="25">
        <f>IF(I301&lt;=0.005,0,ROUND(I301*Inputs!$C$8,2))</f>
        <v/>
      </c>
      <c r="K301" s="25">
        <f>IF(I301&lt;=0.005,0,MIN(Inputs!$C$7,I301+J301))</f>
        <v/>
      </c>
      <c r="L301" s="25">
        <f>IF(I301&lt;=0.005,0,IF(H301=$B$4,MIN($B$3,I301-(K301-J301)),0))</f>
        <v/>
      </c>
      <c r="M301" s="25">
        <f>ROUND(I301-(K301-J301)-L301,2)</f>
        <v/>
      </c>
    </row>
    <row r="302">
      <c r="A302" t="n">
        <v>117</v>
      </c>
      <c r="B302" s="25">
        <f>F301</f>
        <v/>
      </c>
      <c r="C302" s="25">
        <f>IF(B302&lt;=0.005,0,ROUND(B302*Inputs!$B$8,2))</f>
        <v/>
      </c>
      <c r="D302" s="25">
        <f>IF(B302&lt;=0.005,0,MIN(Inputs!$B$7,B302+C302))</f>
        <v/>
      </c>
      <c r="E302" s="25">
        <f>IF(B302&lt;=0.005,0,IF(A302=$B$4,MIN($B$3,B302-(D302-C302)),0))</f>
        <v/>
      </c>
      <c r="F302" s="25">
        <f>ROUND(B302-(D302-C302)-E302,2)</f>
        <v/>
      </c>
      <c r="H302" t="n">
        <v>117</v>
      </c>
      <c r="I302" s="25">
        <f>M301</f>
        <v/>
      </c>
      <c r="J302" s="25">
        <f>IF(I302&lt;=0.005,0,ROUND(I302*Inputs!$C$8,2))</f>
        <v/>
      </c>
      <c r="K302" s="25">
        <f>IF(I302&lt;=0.005,0,MIN(Inputs!$C$7,I302+J302))</f>
        <v/>
      </c>
      <c r="L302" s="25">
        <f>IF(I302&lt;=0.005,0,IF(H302=$B$4,MIN($B$3,I302-(K302-J302)),0))</f>
        <v/>
      </c>
      <c r="M302" s="25">
        <f>ROUND(I302-(K302-J302)-L302,2)</f>
        <v/>
      </c>
    </row>
    <row r="303">
      <c r="A303" t="n">
        <v>118</v>
      </c>
      <c r="B303" s="25">
        <f>F302</f>
        <v/>
      </c>
      <c r="C303" s="25">
        <f>IF(B303&lt;=0.005,0,ROUND(B303*Inputs!$B$8,2))</f>
        <v/>
      </c>
      <c r="D303" s="25">
        <f>IF(B303&lt;=0.005,0,MIN(Inputs!$B$7,B303+C303))</f>
        <v/>
      </c>
      <c r="E303" s="25">
        <f>IF(B303&lt;=0.005,0,IF(A303=$B$4,MIN($B$3,B303-(D303-C303)),0))</f>
        <v/>
      </c>
      <c r="F303" s="25">
        <f>ROUND(B303-(D303-C303)-E303,2)</f>
        <v/>
      </c>
      <c r="H303" t="n">
        <v>118</v>
      </c>
      <c r="I303" s="25">
        <f>M302</f>
        <v/>
      </c>
      <c r="J303" s="25">
        <f>IF(I303&lt;=0.005,0,ROUND(I303*Inputs!$C$8,2))</f>
        <v/>
      </c>
      <c r="K303" s="25">
        <f>IF(I303&lt;=0.005,0,MIN(Inputs!$C$7,I303+J303))</f>
        <v/>
      </c>
      <c r="L303" s="25">
        <f>IF(I303&lt;=0.005,0,IF(H303=$B$4,MIN($B$3,I303-(K303-J303)),0))</f>
        <v/>
      </c>
      <c r="M303" s="25">
        <f>ROUND(I303-(K303-J303)-L303,2)</f>
        <v/>
      </c>
    </row>
    <row r="304">
      <c r="A304" t="n">
        <v>119</v>
      </c>
      <c r="B304" s="25">
        <f>F303</f>
        <v/>
      </c>
      <c r="C304" s="25">
        <f>IF(B304&lt;=0.005,0,ROUND(B304*Inputs!$B$8,2))</f>
        <v/>
      </c>
      <c r="D304" s="25">
        <f>IF(B304&lt;=0.005,0,MIN(Inputs!$B$7,B304+C304))</f>
        <v/>
      </c>
      <c r="E304" s="25">
        <f>IF(B304&lt;=0.005,0,IF(A304=$B$4,MIN($B$3,B304-(D304-C304)),0))</f>
        <v/>
      </c>
      <c r="F304" s="25">
        <f>ROUND(B304-(D304-C304)-E304,2)</f>
        <v/>
      </c>
      <c r="H304" t="n">
        <v>119</v>
      </c>
      <c r="I304" s="25">
        <f>M303</f>
        <v/>
      </c>
      <c r="J304" s="25">
        <f>IF(I304&lt;=0.005,0,ROUND(I304*Inputs!$C$8,2))</f>
        <v/>
      </c>
      <c r="K304" s="25">
        <f>IF(I304&lt;=0.005,0,MIN(Inputs!$C$7,I304+J304))</f>
        <v/>
      </c>
      <c r="L304" s="25">
        <f>IF(I304&lt;=0.005,0,IF(H304=$B$4,MIN($B$3,I304-(K304-J304)),0))</f>
        <v/>
      </c>
      <c r="M304" s="25">
        <f>ROUND(I304-(K304-J304)-L304,2)</f>
        <v/>
      </c>
    </row>
    <row r="305">
      <c r="A305" t="n">
        <v>120</v>
      </c>
      <c r="B305" s="25">
        <f>F304</f>
        <v/>
      </c>
      <c r="C305" s="25">
        <f>IF(B305&lt;=0.005,0,ROUND(B305*Inputs!$B$8,2))</f>
        <v/>
      </c>
      <c r="D305" s="25">
        <f>IF(B305&lt;=0.005,0,MIN(Inputs!$B$7,B305+C305))</f>
        <v/>
      </c>
      <c r="E305" s="25">
        <f>IF(B305&lt;=0.005,0,IF(A305=$B$4,MIN($B$3,B305-(D305-C305)),0))</f>
        <v/>
      </c>
      <c r="F305" s="25">
        <f>ROUND(B305-(D305-C305)-E305,2)</f>
        <v/>
      </c>
      <c r="H305" t="n">
        <v>120</v>
      </c>
      <c r="I305" s="25">
        <f>M304</f>
        <v/>
      </c>
      <c r="J305" s="25">
        <f>IF(I305&lt;=0.005,0,ROUND(I305*Inputs!$C$8,2))</f>
        <v/>
      </c>
      <c r="K305" s="25">
        <f>IF(I305&lt;=0.005,0,MIN(Inputs!$C$7,I305+J305))</f>
        <v/>
      </c>
      <c r="L305" s="25">
        <f>IF(I305&lt;=0.005,0,IF(H305=$B$4,MIN($B$3,I305-(K305-J305)),0))</f>
        <v/>
      </c>
      <c r="M305" s="25">
        <f>ROUND(I305-(K305-J305)-L305,2)</f>
        <v/>
      </c>
    </row>
    <row r="306">
      <c r="A306" t="n">
        <v>121</v>
      </c>
      <c r="B306" s="25">
        <f>F305</f>
        <v/>
      </c>
      <c r="C306" s="25">
        <f>IF(B306&lt;=0.005,0,ROUND(B306*Inputs!$B$8,2))</f>
        <v/>
      </c>
      <c r="D306" s="25">
        <f>IF(B306&lt;=0.005,0,MIN(Inputs!$B$7,B306+C306))</f>
        <v/>
      </c>
      <c r="E306" s="25">
        <f>IF(B306&lt;=0.005,0,IF(A306=$B$4,MIN($B$3,B306-(D306-C306)),0))</f>
        <v/>
      </c>
      <c r="F306" s="25">
        <f>ROUND(B306-(D306-C306)-E306,2)</f>
        <v/>
      </c>
      <c r="H306" t="n">
        <v>121</v>
      </c>
      <c r="I306" s="25">
        <f>M305</f>
        <v/>
      </c>
      <c r="J306" s="25">
        <f>IF(I306&lt;=0.005,0,ROUND(I306*Inputs!$C$8,2))</f>
        <v/>
      </c>
      <c r="K306" s="25">
        <f>IF(I306&lt;=0.005,0,MIN(Inputs!$C$7,I306+J306))</f>
        <v/>
      </c>
      <c r="L306" s="25">
        <f>IF(I306&lt;=0.005,0,IF(H306=$B$4,MIN($B$3,I306-(K306-J306)),0))</f>
        <v/>
      </c>
      <c r="M306" s="25">
        <f>ROUND(I306-(K306-J306)-L306,2)</f>
        <v/>
      </c>
    </row>
    <row r="307">
      <c r="A307" t="n">
        <v>122</v>
      </c>
      <c r="B307" s="25">
        <f>F306</f>
        <v/>
      </c>
      <c r="C307" s="25">
        <f>IF(B307&lt;=0.005,0,ROUND(B307*Inputs!$B$8,2))</f>
        <v/>
      </c>
      <c r="D307" s="25">
        <f>IF(B307&lt;=0.005,0,MIN(Inputs!$B$7,B307+C307))</f>
        <v/>
      </c>
      <c r="E307" s="25">
        <f>IF(B307&lt;=0.005,0,IF(A307=$B$4,MIN($B$3,B307-(D307-C307)),0))</f>
        <v/>
      </c>
      <c r="F307" s="25">
        <f>ROUND(B307-(D307-C307)-E307,2)</f>
        <v/>
      </c>
      <c r="H307" t="n">
        <v>122</v>
      </c>
      <c r="I307" s="25">
        <f>M306</f>
        <v/>
      </c>
      <c r="J307" s="25">
        <f>IF(I307&lt;=0.005,0,ROUND(I307*Inputs!$C$8,2))</f>
        <v/>
      </c>
      <c r="K307" s="25">
        <f>IF(I307&lt;=0.005,0,MIN(Inputs!$C$7,I307+J307))</f>
        <v/>
      </c>
      <c r="L307" s="25">
        <f>IF(I307&lt;=0.005,0,IF(H307=$B$4,MIN($B$3,I307-(K307-J307)),0))</f>
        <v/>
      </c>
      <c r="M307" s="25">
        <f>ROUND(I307-(K307-J307)-L307,2)</f>
        <v/>
      </c>
    </row>
    <row r="308">
      <c r="A308" t="n">
        <v>123</v>
      </c>
      <c r="B308" s="25">
        <f>F307</f>
        <v/>
      </c>
      <c r="C308" s="25">
        <f>IF(B308&lt;=0.005,0,ROUND(B308*Inputs!$B$8,2))</f>
        <v/>
      </c>
      <c r="D308" s="25">
        <f>IF(B308&lt;=0.005,0,MIN(Inputs!$B$7,B308+C308))</f>
        <v/>
      </c>
      <c r="E308" s="25">
        <f>IF(B308&lt;=0.005,0,IF(A308=$B$4,MIN($B$3,B308-(D308-C308)),0))</f>
        <v/>
      </c>
      <c r="F308" s="25">
        <f>ROUND(B308-(D308-C308)-E308,2)</f>
        <v/>
      </c>
      <c r="H308" t="n">
        <v>123</v>
      </c>
      <c r="I308" s="25">
        <f>M307</f>
        <v/>
      </c>
      <c r="J308" s="25">
        <f>IF(I308&lt;=0.005,0,ROUND(I308*Inputs!$C$8,2))</f>
        <v/>
      </c>
      <c r="K308" s="25">
        <f>IF(I308&lt;=0.005,0,MIN(Inputs!$C$7,I308+J308))</f>
        <v/>
      </c>
      <c r="L308" s="25">
        <f>IF(I308&lt;=0.005,0,IF(H308=$B$4,MIN($B$3,I308-(K308-J308)),0))</f>
        <v/>
      </c>
      <c r="M308" s="25">
        <f>ROUND(I308-(K308-J308)-L308,2)</f>
        <v/>
      </c>
    </row>
    <row r="309">
      <c r="A309" t="n">
        <v>124</v>
      </c>
      <c r="B309" s="25">
        <f>F308</f>
        <v/>
      </c>
      <c r="C309" s="25">
        <f>IF(B309&lt;=0.005,0,ROUND(B309*Inputs!$B$8,2))</f>
        <v/>
      </c>
      <c r="D309" s="25">
        <f>IF(B309&lt;=0.005,0,MIN(Inputs!$B$7,B309+C309))</f>
        <v/>
      </c>
      <c r="E309" s="25">
        <f>IF(B309&lt;=0.005,0,IF(A309=$B$4,MIN($B$3,B309-(D309-C309)),0))</f>
        <v/>
      </c>
      <c r="F309" s="25">
        <f>ROUND(B309-(D309-C309)-E309,2)</f>
        <v/>
      </c>
      <c r="H309" t="n">
        <v>124</v>
      </c>
      <c r="I309" s="25">
        <f>M308</f>
        <v/>
      </c>
      <c r="J309" s="25">
        <f>IF(I309&lt;=0.005,0,ROUND(I309*Inputs!$C$8,2))</f>
        <v/>
      </c>
      <c r="K309" s="25">
        <f>IF(I309&lt;=0.005,0,MIN(Inputs!$C$7,I309+J309))</f>
        <v/>
      </c>
      <c r="L309" s="25">
        <f>IF(I309&lt;=0.005,0,IF(H309=$B$4,MIN($B$3,I309-(K309-J309)),0))</f>
        <v/>
      </c>
      <c r="M309" s="25">
        <f>ROUND(I309-(K309-J309)-L309,2)</f>
        <v/>
      </c>
    </row>
    <row r="310">
      <c r="A310" t="n">
        <v>125</v>
      </c>
      <c r="B310" s="25">
        <f>F309</f>
        <v/>
      </c>
      <c r="C310" s="25">
        <f>IF(B310&lt;=0.005,0,ROUND(B310*Inputs!$B$8,2))</f>
        <v/>
      </c>
      <c r="D310" s="25">
        <f>IF(B310&lt;=0.005,0,MIN(Inputs!$B$7,B310+C310))</f>
        <v/>
      </c>
      <c r="E310" s="25">
        <f>IF(B310&lt;=0.005,0,IF(A310=$B$4,MIN($B$3,B310-(D310-C310)),0))</f>
        <v/>
      </c>
      <c r="F310" s="25">
        <f>ROUND(B310-(D310-C310)-E310,2)</f>
        <v/>
      </c>
      <c r="H310" t="n">
        <v>125</v>
      </c>
      <c r="I310" s="25">
        <f>M309</f>
        <v/>
      </c>
      <c r="J310" s="25">
        <f>IF(I310&lt;=0.005,0,ROUND(I310*Inputs!$C$8,2))</f>
        <v/>
      </c>
      <c r="K310" s="25">
        <f>IF(I310&lt;=0.005,0,MIN(Inputs!$C$7,I310+J310))</f>
        <v/>
      </c>
      <c r="L310" s="25">
        <f>IF(I310&lt;=0.005,0,IF(H310=$B$4,MIN($B$3,I310-(K310-J310)),0))</f>
        <v/>
      </c>
      <c r="M310" s="25">
        <f>ROUND(I310-(K310-J310)-L310,2)</f>
        <v/>
      </c>
    </row>
    <row r="311">
      <c r="A311" t="n">
        <v>126</v>
      </c>
      <c r="B311" s="25">
        <f>F310</f>
        <v/>
      </c>
      <c r="C311" s="25">
        <f>IF(B311&lt;=0.005,0,ROUND(B311*Inputs!$B$8,2))</f>
        <v/>
      </c>
      <c r="D311" s="25">
        <f>IF(B311&lt;=0.005,0,MIN(Inputs!$B$7,B311+C311))</f>
        <v/>
      </c>
      <c r="E311" s="25">
        <f>IF(B311&lt;=0.005,0,IF(A311=$B$4,MIN($B$3,B311-(D311-C311)),0))</f>
        <v/>
      </c>
      <c r="F311" s="25">
        <f>ROUND(B311-(D311-C311)-E311,2)</f>
        <v/>
      </c>
      <c r="H311" t="n">
        <v>126</v>
      </c>
      <c r="I311" s="25">
        <f>M310</f>
        <v/>
      </c>
      <c r="J311" s="25">
        <f>IF(I311&lt;=0.005,0,ROUND(I311*Inputs!$C$8,2))</f>
        <v/>
      </c>
      <c r="K311" s="25">
        <f>IF(I311&lt;=0.005,0,MIN(Inputs!$C$7,I311+J311))</f>
        <v/>
      </c>
      <c r="L311" s="25">
        <f>IF(I311&lt;=0.005,0,IF(H311=$B$4,MIN($B$3,I311-(K311-J311)),0))</f>
        <v/>
      </c>
      <c r="M311" s="25">
        <f>ROUND(I311-(K311-J311)-L311,2)</f>
        <v/>
      </c>
    </row>
    <row r="312">
      <c r="A312" t="n">
        <v>127</v>
      </c>
      <c r="B312" s="25">
        <f>F311</f>
        <v/>
      </c>
      <c r="C312" s="25">
        <f>IF(B312&lt;=0.005,0,ROUND(B312*Inputs!$B$8,2))</f>
        <v/>
      </c>
      <c r="D312" s="25">
        <f>IF(B312&lt;=0.005,0,MIN(Inputs!$B$7,B312+C312))</f>
        <v/>
      </c>
      <c r="E312" s="25">
        <f>IF(B312&lt;=0.005,0,IF(A312=$B$4,MIN($B$3,B312-(D312-C312)),0))</f>
        <v/>
      </c>
      <c r="F312" s="25">
        <f>ROUND(B312-(D312-C312)-E312,2)</f>
        <v/>
      </c>
      <c r="H312" t="n">
        <v>127</v>
      </c>
      <c r="I312" s="25">
        <f>M311</f>
        <v/>
      </c>
      <c r="J312" s="25">
        <f>IF(I312&lt;=0.005,0,ROUND(I312*Inputs!$C$8,2))</f>
        <v/>
      </c>
      <c r="K312" s="25">
        <f>IF(I312&lt;=0.005,0,MIN(Inputs!$C$7,I312+J312))</f>
        <v/>
      </c>
      <c r="L312" s="25">
        <f>IF(I312&lt;=0.005,0,IF(H312=$B$4,MIN($B$3,I312-(K312-J312)),0))</f>
        <v/>
      </c>
      <c r="M312" s="25">
        <f>ROUND(I312-(K312-J312)-L312,2)</f>
        <v/>
      </c>
    </row>
    <row r="313">
      <c r="A313" t="n">
        <v>128</v>
      </c>
      <c r="B313" s="25">
        <f>F312</f>
        <v/>
      </c>
      <c r="C313" s="25">
        <f>IF(B313&lt;=0.005,0,ROUND(B313*Inputs!$B$8,2))</f>
        <v/>
      </c>
      <c r="D313" s="25">
        <f>IF(B313&lt;=0.005,0,MIN(Inputs!$B$7,B313+C313))</f>
        <v/>
      </c>
      <c r="E313" s="25">
        <f>IF(B313&lt;=0.005,0,IF(A313=$B$4,MIN($B$3,B313-(D313-C313)),0))</f>
        <v/>
      </c>
      <c r="F313" s="25">
        <f>ROUND(B313-(D313-C313)-E313,2)</f>
        <v/>
      </c>
      <c r="H313" t="n">
        <v>128</v>
      </c>
      <c r="I313" s="25">
        <f>M312</f>
        <v/>
      </c>
      <c r="J313" s="25">
        <f>IF(I313&lt;=0.005,0,ROUND(I313*Inputs!$C$8,2))</f>
        <v/>
      </c>
      <c r="K313" s="25">
        <f>IF(I313&lt;=0.005,0,MIN(Inputs!$C$7,I313+J313))</f>
        <v/>
      </c>
      <c r="L313" s="25">
        <f>IF(I313&lt;=0.005,0,IF(H313=$B$4,MIN($B$3,I313-(K313-J313)),0))</f>
        <v/>
      </c>
      <c r="M313" s="25">
        <f>ROUND(I313-(K313-J313)-L313,2)</f>
        <v/>
      </c>
    </row>
    <row r="314">
      <c r="A314" t="n">
        <v>129</v>
      </c>
      <c r="B314" s="25">
        <f>F313</f>
        <v/>
      </c>
      <c r="C314" s="25">
        <f>IF(B314&lt;=0.005,0,ROUND(B314*Inputs!$B$8,2))</f>
        <v/>
      </c>
      <c r="D314" s="25">
        <f>IF(B314&lt;=0.005,0,MIN(Inputs!$B$7,B314+C314))</f>
        <v/>
      </c>
      <c r="E314" s="25">
        <f>IF(B314&lt;=0.005,0,IF(A314=$B$4,MIN($B$3,B314-(D314-C314)),0))</f>
        <v/>
      </c>
      <c r="F314" s="25">
        <f>ROUND(B314-(D314-C314)-E314,2)</f>
        <v/>
      </c>
      <c r="H314" t="n">
        <v>129</v>
      </c>
      <c r="I314" s="25">
        <f>M313</f>
        <v/>
      </c>
      <c r="J314" s="25">
        <f>IF(I314&lt;=0.005,0,ROUND(I314*Inputs!$C$8,2))</f>
        <v/>
      </c>
      <c r="K314" s="25">
        <f>IF(I314&lt;=0.005,0,MIN(Inputs!$C$7,I314+J314))</f>
        <v/>
      </c>
      <c r="L314" s="25">
        <f>IF(I314&lt;=0.005,0,IF(H314=$B$4,MIN($B$3,I314-(K314-J314)),0))</f>
        <v/>
      </c>
      <c r="M314" s="25">
        <f>ROUND(I314-(K314-J314)-L314,2)</f>
        <v/>
      </c>
    </row>
    <row r="315">
      <c r="A315" t="n">
        <v>130</v>
      </c>
      <c r="B315" s="25">
        <f>F314</f>
        <v/>
      </c>
      <c r="C315" s="25">
        <f>IF(B315&lt;=0.005,0,ROUND(B315*Inputs!$B$8,2))</f>
        <v/>
      </c>
      <c r="D315" s="25">
        <f>IF(B315&lt;=0.005,0,MIN(Inputs!$B$7,B315+C315))</f>
        <v/>
      </c>
      <c r="E315" s="25">
        <f>IF(B315&lt;=0.005,0,IF(A315=$B$4,MIN($B$3,B315-(D315-C315)),0))</f>
        <v/>
      </c>
      <c r="F315" s="25">
        <f>ROUND(B315-(D315-C315)-E315,2)</f>
        <v/>
      </c>
      <c r="H315" t="n">
        <v>130</v>
      </c>
      <c r="I315" s="25">
        <f>M314</f>
        <v/>
      </c>
      <c r="J315" s="25">
        <f>IF(I315&lt;=0.005,0,ROUND(I315*Inputs!$C$8,2))</f>
        <v/>
      </c>
      <c r="K315" s="25">
        <f>IF(I315&lt;=0.005,0,MIN(Inputs!$C$7,I315+J315))</f>
        <v/>
      </c>
      <c r="L315" s="25">
        <f>IF(I315&lt;=0.005,0,IF(H315=$B$4,MIN($B$3,I315-(K315-J315)),0))</f>
        <v/>
      </c>
      <c r="M315" s="25">
        <f>ROUND(I315-(K315-J315)-L315,2)</f>
        <v/>
      </c>
    </row>
    <row r="316">
      <c r="A316" t="n">
        <v>131</v>
      </c>
      <c r="B316" s="25">
        <f>F315</f>
        <v/>
      </c>
      <c r="C316" s="25">
        <f>IF(B316&lt;=0.005,0,ROUND(B316*Inputs!$B$8,2))</f>
        <v/>
      </c>
      <c r="D316" s="25">
        <f>IF(B316&lt;=0.005,0,MIN(Inputs!$B$7,B316+C316))</f>
        <v/>
      </c>
      <c r="E316" s="25">
        <f>IF(B316&lt;=0.005,0,IF(A316=$B$4,MIN($B$3,B316-(D316-C316)),0))</f>
        <v/>
      </c>
      <c r="F316" s="25">
        <f>ROUND(B316-(D316-C316)-E316,2)</f>
        <v/>
      </c>
      <c r="H316" t="n">
        <v>131</v>
      </c>
      <c r="I316" s="25">
        <f>M315</f>
        <v/>
      </c>
      <c r="J316" s="25">
        <f>IF(I316&lt;=0.005,0,ROUND(I316*Inputs!$C$8,2))</f>
        <v/>
      </c>
      <c r="K316" s="25">
        <f>IF(I316&lt;=0.005,0,MIN(Inputs!$C$7,I316+J316))</f>
        <v/>
      </c>
      <c r="L316" s="25">
        <f>IF(I316&lt;=0.005,0,IF(H316=$B$4,MIN($B$3,I316-(K316-J316)),0))</f>
        <v/>
      </c>
      <c r="M316" s="25">
        <f>ROUND(I316-(K316-J316)-L316,2)</f>
        <v/>
      </c>
    </row>
    <row r="317">
      <c r="A317" t="n">
        <v>132</v>
      </c>
      <c r="B317" s="25">
        <f>F316</f>
        <v/>
      </c>
      <c r="C317" s="25">
        <f>IF(B317&lt;=0.005,0,ROUND(B317*Inputs!$B$8,2))</f>
        <v/>
      </c>
      <c r="D317" s="25">
        <f>IF(B317&lt;=0.005,0,MIN(Inputs!$B$7,B317+C317))</f>
        <v/>
      </c>
      <c r="E317" s="25">
        <f>IF(B317&lt;=0.005,0,IF(A317=$B$4,MIN($B$3,B317-(D317-C317)),0))</f>
        <v/>
      </c>
      <c r="F317" s="25">
        <f>ROUND(B317-(D317-C317)-E317,2)</f>
        <v/>
      </c>
      <c r="H317" t="n">
        <v>132</v>
      </c>
      <c r="I317" s="25">
        <f>M316</f>
        <v/>
      </c>
      <c r="J317" s="25">
        <f>IF(I317&lt;=0.005,0,ROUND(I317*Inputs!$C$8,2))</f>
        <v/>
      </c>
      <c r="K317" s="25">
        <f>IF(I317&lt;=0.005,0,MIN(Inputs!$C$7,I317+J317))</f>
        <v/>
      </c>
      <c r="L317" s="25">
        <f>IF(I317&lt;=0.005,0,IF(H317=$B$4,MIN($B$3,I317-(K317-J317)),0))</f>
        <v/>
      </c>
      <c r="M317" s="25">
        <f>ROUND(I317-(K317-J317)-L317,2)</f>
        <v/>
      </c>
    </row>
    <row r="318">
      <c r="A318" t="n">
        <v>133</v>
      </c>
      <c r="B318" s="25">
        <f>F317</f>
        <v/>
      </c>
      <c r="C318" s="25">
        <f>IF(B318&lt;=0.005,0,ROUND(B318*Inputs!$B$8,2))</f>
        <v/>
      </c>
      <c r="D318" s="25">
        <f>IF(B318&lt;=0.005,0,MIN(Inputs!$B$7,B318+C318))</f>
        <v/>
      </c>
      <c r="E318" s="25">
        <f>IF(B318&lt;=0.005,0,IF(A318=$B$4,MIN($B$3,B318-(D318-C318)),0))</f>
        <v/>
      </c>
      <c r="F318" s="25">
        <f>ROUND(B318-(D318-C318)-E318,2)</f>
        <v/>
      </c>
      <c r="H318" t="n">
        <v>133</v>
      </c>
      <c r="I318" s="25">
        <f>M317</f>
        <v/>
      </c>
      <c r="J318" s="25">
        <f>IF(I318&lt;=0.005,0,ROUND(I318*Inputs!$C$8,2))</f>
        <v/>
      </c>
      <c r="K318" s="25">
        <f>IF(I318&lt;=0.005,0,MIN(Inputs!$C$7,I318+J318))</f>
        <v/>
      </c>
      <c r="L318" s="25">
        <f>IF(I318&lt;=0.005,0,IF(H318=$B$4,MIN($B$3,I318-(K318-J318)),0))</f>
        <v/>
      </c>
      <c r="M318" s="25">
        <f>ROUND(I318-(K318-J318)-L318,2)</f>
        <v/>
      </c>
    </row>
    <row r="319">
      <c r="A319" t="n">
        <v>134</v>
      </c>
      <c r="B319" s="25">
        <f>F318</f>
        <v/>
      </c>
      <c r="C319" s="25">
        <f>IF(B319&lt;=0.005,0,ROUND(B319*Inputs!$B$8,2))</f>
        <v/>
      </c>
      <c r="D319" s="25">
        <f>IF(B319&lt;=0.005,0,MIN(Inputs!$B$7,B319+C319))</f>
        <v/>
      </c>
      <c r="E319" s="25">
        <f>IF(B319&lt;=0.005,0,IF(A319=$B$4,MIN($B$3,B319-(D319-C319)),0))</f>
        <v/>
      </c>
      <c r="F319" s="25">
        <f>ROUND(B319-(D319-C319)-E319,2)</f>
        <v/>
      </c>
      <c r="H319" t="n">
        <v>134</v>
      </c>
      <c r="I319" s="25">
        <f>M318</f>
        <v/>
      </c>
      <c r="J319" s="25">
        <f>IF(I319&lt;=0.005,0,ROUND(I319*Inputs!$C$8,2))</f>
        <v/>
      </c>
      <c r="K319" s="25">
        <f>IF(I319&lt;=0.005,0,MIN(Inputs!$C$7,I319+J319))</f>
        <v/>
      </c>
      <c r="L319" s="25">
        <f>IF(I319&lt;=0.005,0,IF(H319=$B$4,MIN($B$3,I319-(K319-J319)),0))</f>
        <v/>
      </c>
      <c r="M319" s="25">
        <f>ROUND(I319-(K319-J319)-L319,2)</f>
        <v/>
      </c>
    </row>
    <row r="320">
      <c r="A320" t="n">
        <v>135</v>
      </c>
      <c r="B320" s="25">
        <f>F319</f>
        <v/>
      </c>
      <c r="C320" s="25">
        <f>IF(B320&lt;=0.005,0,ROUND(B320*Inputs!$B$8,2))</f>
        <v/>
      </c>
      <c r="D320" s="25">
        <f>IF(B320&lt;=0.005,0,MIN(Inputs!$B$7,B320+C320))</f>
        <v/>
      </c>
      <c r="E320" s="25">
        <f>IF(B320&lt;=0.005,0,IF(A320=$B$4,MIN($B$3,B320-(D320-C320)),0))</f>
        <v/>
      </c>
      <c r="F320" s="25">
        <f>ROUND(B320-(D320-C320)-E320,2)</f>
        <v/>
      </c>
      <c r="H320" t="n">
        <v>135</v>
      </c>
      <c r="I320" s="25">
        <f>M319</f>
        <v/>
      </c>
      <c r="J320" s="25">
        <f>IF(I320&lt;=0.005,0,ROUND(I320*Inputs!$C$8,2))</f>
        <v/>
      </c>
      <c r="K320" s="25">
        <f>IF(I320&lt;=0.005,0,MIN(Inputs!$C$7,I320+J320))</f>
        <v/>
      </c>
      <c r="L320" s="25">
        <f>IF(I320&lt;=0.005,0,IF(H320=$B$4,MIN($B$3,I320-(K320-J320)),0))</f>
        <v/>
      </c>
      <c r="M320" s="25">
        <f>ROUND(I320-(K320-J320)-L320,2)</f>
        <v/>
      </c>
    </row>
    <row r="321">
      <c r="A321" t="n">
        <v>136</v>
      </c>
      <c r="B321" s="25">
        <f>F320</f>
        <v/>
      </c>
      <c r="C321" s="25">
        <f>IF(B321&lt;=0.005,0,ROUND(B321*Inputs!$B$8,2))</f>
        <v/>
      </c>
      <c r="D321" s="25">
        <f>IF(B321&lt;=0.005,0,MIN(Inputs!$B$7,B321+C321))</f>
        <v/>
      </c>
      <c r="E321" s="25">
        <f>IF(B321&lt;=0.005,0,IF(A321=$B$4,MIN($B$3,B321-(D321-C321)),0))</f>
        <v/>
      </c>
      <c r="F321" s="25">
        <f>ROUND(B321-(D321-C321)-E321,2)</f>
        <v/>
      </c>
      <c r="H321" t="n">
        <v>136</v>
      </c>
      <c r="I321" s="25">
        <f>M320</f>
        <v/>
      </c>
      <c r="J321" s="25">
        <f>IF(I321&lt;=0.005,0,ROUND(I321*Inputs!$C$8,2))</f>
        <v/>
      </c>
      <c r="K321" s="25">
        <f>IF(I321&lt;=0.005,0,MIN(Inputs!$C$7,I321+J321))</f>
        <v/>
      </c>
      <c r="L321" s="25">
        <f>IF(I321&lt;=0.005,0,IF(H321=$B$4,MIN($B$3,I321-(K321-J321)),0))</f>
        <v/>
      </c>
      <c r="M321" s="25">
        <f>ROUND(I321-(K321-J321)-L321,2)</f>
        <v/>
      </c>
    </row>
    <row r="322">
      <c r="A322" t="n">
        <v>137</v>
      </c>
      <c r="B322" s="25">
        <f>F321</f>
        <v/>
      </c>
      <c r="C322" s="25">
        <f>IF(B322&lt;=0.005,0,ROUND(B322*Inputs!$B$8,2))</f>
        <v/>
      </c>
      <c r="D322" s="25">
        <f>IF(B322&lt;=0.005,0,MIN(Inputs!$B$7,B322+C322))</f>
        <v/>
      </c>
      <c r="E322" s="25">
        <f>IF(B322&lt;=0.005,0,IF(A322=$B$4,MIN($B$3,B322-(D322-C322)),0))</f>
        <v/>
      </c>
      <c r="F322" s="25">
        <f>ROUND(B322-(D322-C322)-E322,2)</f>
        <v/>
      </c>
      <c r="H322" t="n">
        <v>137</v>
      </c>
      <c r="I322" s="25">
        <f>M321</f>
        <v/>
      </c>
      <c r="J322" s="25">
        <f>IF(I322&lt;=0.005,0,ROUND(I322*Inputs!$C$8,2))</f>
        <v/>
      </c>
      <c r="K322" s="25">
        <f>IF(I322&lt;=0.005,0,MIN(Inputs!$C$7,I322+J322))</f>
        <v/>
      </c>
      <c r="L322" s="25">
        <f>IF(I322&lt;=0.005,0,IF(H322=$B$4,MIN($B$3,I322-(K322-J322)),0))</f>
        <v/>
      </c>
      <c r="M322" s="25">
        <f>ROUND(I322-(K322-J322)-L322,2)</f>
        <v/>
      </c>
    </row>
    <row r="323">
      <c r="A323" t="n">
        <v>138</v>
      </c>
      <c r="B323" s="25">
        <f>F322</f>
        <v/>
      </c>
      <c r="C323" s="25">
        <f>IF(B323&lt;=0.005,0,ROUND(B323*Inputs!$B$8,2))</f>
        <v/>
      </c>
      <c r="D323" s="25">
        <f>IF(B323&lt;=0.005,0,MIN(Inputs!$B$7,B323+C323))</f>
        <v/>
      </c>
      <c r="E323" s="25">
        <f>IF(B323&lt;=0.005,0,IF(A323=$B$4,MIN($B$3,B323-(D323-C323)),0))</f>
        <v/>
      </c>
      <c r="F323" s="25">
        <f>ROUND(B323-(D323-C323)-E323,2)</f>
        <v/>
      </c>
      <c r="H323" t="n">
        <v>138</v>
      </c>
      <c r="I323" s="25">
        <f>M322</f>
        <v/>
      </c>
      <c r="J323" s="25">
        <f>IF(I323&lt;=0.005,0,ROUND(I323*Inputs!$C$8,2))</f>
        <v/>
      </c>
      <c r="K323" s="25">
        <f>IF(I323&lt;=0.005,0,MIN(Inputs!$C$7,I323+J323))</f>
        <v/>
      </c>
      <c r="L323" s="25">
        <f>IF(I323&lt;=0.005,0,IF(H323=$B$4,MIN($B$3,I323-(K323-J323)),0))</f>
        <v/>
      </c>
      <c r="M323" s="25">
        <f>ROUND(I323-(K323-J323)-L323,2)</f>
        <v/>
      </c>
    </row>
    <row r="324">
      <c r="A324" t="n">
        <v>139</v>
      </c>
      <c r="B324" s="25">
        <f>F323</f>
        <v/>
      </c>
      <c r="C324" s="25">
        <f>IF(B324&lt;=0.005,0,ROUND(B324*Inputs!$B$8,2))</f>
        <v/>
      </c>
      <c r="D324" s="25">
        <f>IF(B324&lt;=0.005,0,MIN(Inputs!$B$7,B324+C324))</f>
        <v/>
      </c>
      <c r="E324" s="25">
        <f>IF(B324&lt;=0.005,0,IF(A324=$B$4,MIN($B$3,B324-(D324-C324)),0))</f>
        <v/>
      </c>
      <c r="F324" s="25">
        <f>ROUND(B324-(D324-C324)-E324,2)</f>
        <v/>
      </c>
      <c r="H324" t="n">
        <v>139</v>
      </c>
      <c r="I324" s="25">
        <f>M323</f>
        <v/>
      </c>
      <c r="J324" s="25">
        <f>IF(I324&lt;=0.005,0,ROUND(I324*Inputs!$C$8,2))</f>
        <v/>
      </c>
      <c r="K324" s="25">
        <f>IF(I324&lt;=0.005,0,MIN(Inputs!$C$7,I324+J324))</f>
        <v/>
      </c>
      <c r="L324" s="25">
        <f>IF(I324&lt;=0.005,0,IF(H324=$B$4,MIN($B$3,I324-(K324-J324)),0))</f>
        <v/>
      </c>
      <c r="M324" s="25">
        <f>ROUND(I324-(K324-J324)-L324,2)</f>
        <v/>
      </c>
    </row>
    <row r="325">
      <c r="A325" t="n">
        <v>140</v>
      </c>
      <c r="B325" s="25">
        <f>F324</f>
        <v/>
      </c>
      <c r="C325" s="25">
        <f>IF(B325&lt;=0.005,0,ROUND(B325*Inputs!$B$8,2))</f>
        <v/>
      </c>
      <c r="D325" s="25">
        <f>IF(B325&lt;=0.005,0,MIN(Inputs!$B$7,B325+C325))</f>
        <v/>
      </c>
      <c r="E325" s="25">
        <f>IF(B325&lt;=0.005,0,IF(A325=$B$4,MIN($B$3,B325-(D325-C325)),0))</f>
        <v/>
      </c>
      <c r="F325" s="25">
        <f>ROUND(B325-(D325-C325)-E325,2)</f>
        <v/>
      </c>
      <c r="H325" t="n">
        <v>140</v>
      </c>
      <c r="I325" s="25">
        <f>M324</f>
        <v/>
      </c>
      <c r="J325" s="25">
        <f>IF(I325&lt;=0.005,0,ROUND(I325*Inputs!$C$8,2))</f>
        <v/>
      </c>
      <c r="K325" s="25">
        <f>IF(I325&lt;=0.005,0,MIN(Inputs!$C$7,I325+J325))</f>
        <v/>
      </c>
      <c r="L325" s="25">
        <f>IF(I325&lt;=0.005,0,IF(H325=$B$4,MIN($B$3,I325-(K325-J325)),0))</f>
        <v/>
      </c>
      <c r="M325" s="25">
        <f>ROUND(I325-(K325-J325)-L325,2)</f>
        <v/>
      </c>
    </row>
    <row r="326">
      <c r="A326" t="n">
        <v>141</v>
      </c>
      <c r="B326" s="25">
        <f>F325</f>
        <v/>
      </c>
      <c r="C326" s="25">
        <f>IF(B326&lt;=0.005,0,ROUND(B326*Inputs!$B$8,2))</f>
        <v/>
      </c>
      <c r="D326" s="25">
        <f>IF(B326&lt;=0.005,0,MIN(Inputs!$B$7,B326+C326))</f>
        <v/>
      </c>
      <c r="E326" s="25">
        <f>IF(B326&lt;=0.005,0,IF(A326=$B$4,MIN($B$3,B326-(D326-C326)),0))</f>
        <v/>
      </c>
      <c r="F326" s="25">
        <f>ROUND(B326-(D326-C326)-E326,2)</f>
        <v/>
      </c>
      <c r="H326" t="n">
        <v>141</v>
      </c>
      <c r="I326" s="25">
        <f>M325</f>
        <v/>
      </c>
      <c r="J326" s="25">
        <f>IF(I326&lt;=0.005,0,ROUND(I326*Inputs!$C$8,2))</f>
        <v/>
      </c>
      <c r="K326" s="25">
        <f>IF(I326&lt;=0.005,0,MIN(Inputs!$C$7,I326+J326))</f>
        <v/>
      </c>
      <c r="L326" s="25">
        <f>IF(I326&lt;=0.005,0,IF(H326=$B$4,MIN($B$3,I326-(K326-J326)),0))</f>
        <v/>
      </c>
      <c r="M326" s="25">
        <f>ROUND(I326-(K326-J326)-L326,2)</f>
        <v/>
      </c>
    </row>
    <row r="327">
      <c r="A327" t="n">
        <v>142</v>
      </c>
      <c r="B327" s="25">
        <f>F326</f>
        <v/>
      </c>
      <c r="C327" s="25">
        <f>IF(B327&lt;=0.005,0,ROUND(B327*Inputs!$B$8,2))</f>
        <v/>
      </c>
      <c r="D327" s="25">
        <f>IF(B327&lt;=0.005,0,MIN(Inputs!$B$7,B327+C327))</f>
        <v/>
      </c>
      <c r="E327" s="25">
        <f>IF(B327&lt;=0.005,0,IF(A327=$B$4,MIN($B$3,B327-(D327-C327)),0))</f>
        <v/>
      </c>
      <c r="F327" s="25">
        <f>ROUND(B327-(D327-C327)-E327,2)</f>
        <v/>
      </c>
      <c r="H327" t="n">
        <v>142</v>
      </c>
      <c r="I327" s="25">
        <f>M326</f>
        <v/>
      </c>
      <c r="J327" s="25">
        <f>IF(I327&lt;=0.005,0,ROUND(I327*Inputs!$C$8,2))</f>
        <v/>
      </c>
      <c r="K327" s="25">
        <f>IF(I327&lt;=0.005,0,MIN(Inputs!$C$7,I327+J327))</f>
        <v/>
      </c>
      <c r="L327" s="25">
        <f>IF(I327&lt;=0.005,0,IF(H327=$B$4,MIN($B$3,I327-(K327-J327)),0))</f>
        <v/>
      </c>
      <c r="M327" s="25">
        <f>ROUND(I327-(K327-J327)-L327,2)</f>
        <v/>
      </c>
    </row>
    <row r="328">
      <c r="A328" t="n">
        <v>143</v>
      </c>
      <c r="B328" s="25">
        <f>F327</f>
        <v/>
      </c>
      <c r="C328" s="25">
        <f>IF(B328&lt;=0.005,0,ROUND(B328*Inputs!$B$8,2))</f>
        <v/>
      </c>
      <c r="D328" s="25">
        <f>IF(B328&lt;=0.005,0,MIN(Inputs!$B$7,B328+C328))</f>
        <v/>
      </c>
      <c r="E328" s="25">
        <f>IF(B328&lt;=0.005,0,IF(A328=$B$4,MIN($B$3,B328-(D328-C328)),0))</f>
        <v/>
      </c>
      <c r="F328" s="25">
        <f>ROUND(B328-(D328-C328)-E328,2)</f>
        <v/>
      </c>
      <c r="H328" t="n">
        <v>143</v>
      </c>
      <c r="I328" s="25">
        <f>M327</f>
        <v/>
      </c>
      <c r="J328" s="25">
        <f>IF(I328&lt;=0.005,0,ROUND(I328*Inputs!$C$8,2))</f>
        <v/>
      </c>
      <c r="K328" s="25">
        <f>IF(I328&lt;=0.005,0,MIN(Inputs!$C$7,I328+J328))</f>
        <v/>
      </c>
      <c r="L328" s="25">
        <f>IF(I328&lt;=0.005,0,IF(H328=$B$4,MIN($B$3,I328-(K328-J328)),0))</f>
        <v/>
      </c>
      <c r="M328" s="25">
        <f>ROUND(I328-(K328-J328)-L328,2)</f>
        <v/>
      </c>
    </row>
    <row r="329">
      <c r="A329" t="n">
        <v>144</v>
      </c>
      <c r="B329" s="25">
        <f>F328</f>
        <v/>
      </c>
      <c r="C329" s="25">
        <f>IF(B329&lt;=0.005,0,ROUND(B329*Inputs!$B$8,2))</f>
        <v/>
      </c>
      <c r="D329" s="25">
        <f>IF(B329&lt;=0.005,0,MIN(Inputs!$B$7,B329+C329))</f>
        <v/>
      </c>
      <c r="E329" s="25">
        <f>IF(B329&lt;=0.005,0,IF(A329=$B$4,MIN($B$3,B329-(D329-C329)),0))</f>
        <v/>
      </c>
      <c r="F329" s="25">
        <f>ROUND(B329-(D329-C329)-E329,2)</f>
        <v/>
      </c>
      <c r="H329" t="n">
        <v>144</v>
      </c>
      <c r="I329" s="25">
        <f>M328</f>
        <v/>
      </c>
      <c r="J329" s="25">
        <f>IF(I329&lt;=0.005,0,ROUND(I329*Inputs!$C$8,2))</f>
        <v/>
      </c>
      <c r="K329" s="25">
        <f>IF(I329&lt;=0.005,0,MIN(Inputs!$C$7,I329+J329))</f>
        <v/>
      </c>
      <c r="L329" s="25">
        <f>IF(I329&lt;=0.005,0,IF(H329=$B$4,MIN($B$3,I329-(K329-J329)),0))</f>
        <v/>
      </c>
      <c r="M329" s="25">
        <f>ROUND(I329-(K329-J329)-L329,2)</f>
        <v/>
      </c>
    </row>
    <row r="330">
      <c r="A330" t="n">
        <v>145</v>
      </c>
      <c r="B330" s="25">
        <f>F329</f>
        <v/>
      </c>
      <c r="C330" s="25">
        <f>IF(B330&lt;=0.005,0,ROUND(B330*Inputs!$B$8,2))</f>
        <v/>
      </c>
      <c r="D330" s="25">
        <f>IF(B330&lt;=0.005,0,MIN(Inputs!$B$7,B330+C330))</f>
        <v/>
      </c>
      <c r="E330" s="25">
        <f>IF(B330&lt;=0.005,0,IF(A330=$B$4,MIN($B$3,B330-(D330-C330)),0))</f>
        <v/>
      </c>
      <c r="F330" s="25">
        <f>ROUND(B330-(D330-C330)-E330,2)</f>
        <v/>
      </c>
      <c r="H330" t="n">
        <v>145</v>
      </c>
      <c r="I330" s="25">
        <f>M329</f>
        <v/>
      </c>
      <c r="J330" s="25">
        <f>IF(I330&lt;=0.005,0,ROUND(I330*Inputs!$C$8,2))</f>
        <v/>
      </c>
      <c r="K330" s="25">
        <f>IF(I330&lt;=0.005,0,MIN(Inputs!$C$7,I330+J330))</f>
        <v/>
      </c>
      <c r="L330" s="25">
        <f>IF(I330&lt;=0.005,0,IF(H330=$B$4,MIN($B$3,I330-(K330-J330)),0))</f>
        <v/>
      </c>
      <c r="M330" s="25">
        <f>ROUND(I330-(K330-J330)-L330,2)</f>
        <v/>
      </c>
    </row>
    <row r="331">
      <c r="A331" t="n">
        <v>146</v>
      </c>
      <c r="B331" s="25">
        <f>F330</f>
        <v/>
      </c>
      <c r="C331" s="25">
        <f>IF(B331&lt;=0.005,0,ROUND(B331*Inputs!$B$8,2))</f>
        <v/>
      </c>
      <c r="D331" s="25">
        <f>IF(B331&lt;=0.005,0,MIN(Inputs!$B$7,B331+C331))</f>
        <v/>
      </c>
      <c r="E331" s="25">
        <f>IF(B331&lt;=0.005,0,IF(A331=$B$4,MIN($B$3,B331-(D331-C331)),0))</f>
        <v/>
      </c>
      <c r="F331" s="25">
        <f>ROUND(B331-(D331-C331)-E331,2)</f>
        <v/>
      </c>
      <c r="H331" t="n">
        <v>146</v>
      </c>
      <c r="I331" s="25">
        <f>M330</f>
        <v/>
      </c>
      <c r="J331" s="25">
        <f>IF(I331&lt;=0.005,0,ROUND(I331*Inputs!$C$8,2))</f>
        <v/>
      </c>
      <c r="K331" s="25">
        <f>IF(I331&lt;=0.005,0,MIN(Inputs!$C$7,I331+J331))</f>
        <v/>
      </c>
      <c r="L331" s="25">
        <f>IF(I331&lt;=0.005,0,IF(H331=$B$4,MIN($B$3,I331-(K331-J331)),0))</f>
        <v/>
      </c>
      <c r="M331" s="25">
        <f>ROUND(I331-(K331-J331)-L331,2)</f>
        <v/>
      </c>
    </row>
    <row r="332">
      <c r="A332" t="n">
        <v>147</v>
      </c>
      <c r="B332" s="25">
        <f>F331</f>
        <v/>
      </c>
      <c r="C332" s="25">
        <f>IF(B332&lt;=0.005,0,ROUND(B332*Inputs!$B$8,2))</f>
        <v/>
      </c>
      <c r="D332" s="25">
        <f>IF(B332&lt;=0.005,0,MIN(Inputs!$B$7,B332+C332))</f>
        <v/>
      </c>
      <c r="E332" s="25">
        <f>IF(B332&lt;=0.005,0,IF(A332=$B$4,MIN($B$3,B332-(D332-C332)),0))</f>
        <v/>
      </c>
      <c r="F332" s="25">
        <f>ROUND(B332-(D332-C332)-E332,2)</f>
        <v/>
      </c>
      <c r="H332" t="n">
        <v>147</v>
      </c>
      <c r="I332" s="25">
        <f>M331</f>
        <v/>
      </c>
      <c r="J332" s="25">
        <f>IF(I332&lt;=0.005,0,ROUND(I332*Inputs!$C$8,2))</f>
        <v/>
      </c>
      <c r="K332" s="25">
        <f>IF(I332&lt;=0.005,0,MIN(Inputs!$C$7,I332+J332))</f>
        <v/>
      </c>
      <c r="L332" s="25">
        <f>IF(I332&lt;=0.005,0,IF(H332=$B$4,MIN($B$3,I332-(K332-J332)),0))</f>
        <v/>
      </c>
      <c r="M332" s="25">
        <f>ROUND(I332-(K332-J332)-L332,2)</f>
        <v/>
      </c>
    </row>
    <row r="333">
      <c r="A333" t="n">
        <v>148</v>
      </c>
      <c r="B333" s="25">
        <f>F332</f>
        <v/>
      </c>
      <c r="C333" s="25">
        <f>IF(B333&lt;=0.005,0,ROUND(B333*Inputs!$B$8,2))</f>
        <v/>
      </c>
      <c r="D333" s="25">
        <f>IF(B333&lt;=0.005,0,MIN(Inputs!$B$7,B333+C333))</f>
        <v/>
      </c>
      <c r="E333" s="25">
        <f>IF(B333&lt;=0.005,0,IF(A333=$B$4,MIN($B$3,B333-(D333-C333)),0))</f>
        <v/>
      </c>
      <c r="F333" s="25">
        <f>ROUND(B333-(D333-C333)-E333,2)</f>
        <v/>
      </c>
      <c r="H333" t="n">
        <v>148</v>
      </c>
      <c r="I333" s="25">
        <f>M332</f>
        <v/>
      </c>
      <c r="J333" s="25">
        <f>IF(I333&lt;=0.005,0,ROUND(I333*Inputs!$C$8,2))</f>
        <v/>
      </c>
      <c r="K333" s="25">
        <f>IF(I333&lt;=0.005,0,MIN(Inputs!$C$7,I333+J333))</f>
        <v/>
      </c>
      <c r="L333" s="25">
        <f>IF(I333&lt;=0.005,0,IF(H333=$B$4,MIN($B$3,I333-(K333-J333)),0))</f>
        <v/>
      </c>
      <c r="M333" s="25">
        <f>ROUND(I333-(K333-J333)-L333,2)</f>
        <v/>
      </c>
    </row>
    <row r="334">
      <c r="A334" t="n">
        <v>149</v>
      </c>
      <c r="B334" s="25">
        <f>F333</f>
        <v/>
      </c>
      <c r="C334" s="25">
        <f>IF(B334&lt;=0.005,0,ROUND(B334*Inputs!$B$8,2))</f>
        <v/>
      </c>
      <c r="D334" s="25">
        <f>IF(B334&lt;=0.005,0,MIN(Inputs!$B$7,B334+C334))</f>
        <v/>
      </c>
      <c r="E334" s="25">
        <f>IF(B334&lt;=0.005,0,IF(A334=$B$4,MIN($B$3,B334-(D334-C334)),0))</f>
        <v/>
      </c>
      <c r="F334" s="25">
        <f>ROUND(B334-(D334-C334)-E334,2)</f>
        <v/>
      </c>
      <c r="H334" t="n">
        <v>149</v>
      </c>
      <c r="I334" s="25">
        <f>M333</f>
        <v/>
      </c>
      <c r="J334" s="25">
        <f>IF(I334&lt;=0.005,0,ROUND(I334*Inputs!$C$8,2))</f>
        <v/>
      </c>
      <c r="K334" s="25">
        <f>IF(I334&lt;=0.005,0,MIN(Inputs!$C$7,I334+J334))</f>
        <v/>
      </c>
      <c r="L334" s="25">
        <f>IF(I334&lt;=0.005,0,IF(H334=$B$4,MIN($B$3,I334-(K334-J334)),0))</f>
        <v/>
      </c>
      <c r="M334" s="25">
        <f>ROUND(I334-(K334-J334)-L334,2)</f>
        <v/>
      </c>
    </row>
    <row r="335">
      <c r="A335" t="n">
        <v>150</v>
      </c>
      <c r="B335" s="25">
        <f>F334</f>
        <v/>
      </c>
      <c r="C335" s="25">
        <f>IF(B335&lt;=0.005,0,ROUND(B335*Inputs!$B$8,2))</f>
        <v/>
      </c>
      <c r="D335" s="25">
        <f>IF(B335&lt;=0.005,0,MIN(Inputs!$B$7,B335+C335))</f>
        <v/>
      </c>
      <c r="E335" s="25">
        <f>IF(B335&lt;=0.005,0,IF(A335=$B$4,MIN($B$3,B335-(D335-C335)),0))</f>
        <v/>
      </c>
      <c r="F335" s="25">
        <f>ROUND(B335-(D335-C335)-E335,2)</f>
        <v/>
      </c>
      <c r="H335" t="n">
        <v>150</v>
      </c>
      <c r="I335" s="25">
        <f>M334</f>
        <v/>
      </c>
      <c r="J335" s="25">
        <f>IF(I335&lt;=0.005,0,ROUND(I335*Inputs!$C$8,2))</f>
        <v/>
      </c>
      <c r="K335" s="25">
        <f>IF(I335&lt;=0.005,0,MIN(Inputs!$C$7,I335+J335))</f>
        <v/>
      </c>
      <c r="L335" s="25">
        <f>IF(I335&lt;=0.005,0,IF(H335=$B$4,MIN($B$3,I335-(K335-J335)),0))</f>
        <v/>
      </c>
      <c r="M335" s="25">
        <f>ROUND(I335-(K335-J335)-L335,2)</f>
        <v/>
      </c>
    </row>
    <row r="336">
      <c r="A336" t="n">
        <v>151</v>
      </c>
      <c r="B336" s="25">
        <f>F335</f>
        <v/>
      </c>
      <c r="C336" s="25">
        <f>IF(B336&lt;=0.005,0,ROUND(B336*Inputs!$B$8,2))</f>
        <v/>
      </c>
      <c r="D336" s="25">
        <f>IF(B336&lt;=0.005,0,MIN(Inputs!$B$7,B336+C336))</f>
        <v/>
      </c>
      <c r="E336" s="25">
        <f>IF(B336&lt;=0.005,0,IF(A336=$B$4,MIN($B$3,B336-(D336-C336)),0))</f>
        <v/>
      </c>
      <c r="F336" s="25">
        <f>ROUND(B336-(D336-C336)-E336,2)</f>
        <v/>
      </c>
      <c r="H336" t="n">
        <v>151</v>
      </c>
      <c r="I336" s="25">
        <f>M335</f>
        <v/>
      </c>
      <c r="J336" s="25">
        <f>IF(I336&lt;=0.005,0,ROUND(I336*Inputs!$C$8,2))</f>
        <v/>
      </c>
      <c r="K336" s="25">
        <f>IF(I336&lt;=0.005,0,MIN(Inputs!$C$7,I336+J336))</f>
        <v/>
      </c>
      <c r="L336" s="25">
        <f>IF(I336&lt;=0.005,0,IF(H336=$B$4,MIN($B$3,I336-(K336-J336)),0))</f>
        <v/>
      </c>
      <c r="M336" s="25">
        <f>ROUND(I336-(K336-J336)-L336,2)</f>
        <v/>
      </c>
    </row>
    <row r="337">
      <c r="A337" t="n">
        <v>152</v>
      </c>
      <c r="B337" s="25">
        <f>F336</f>
        <v/>
      </c>
      <c r="C337" s="25">
        <f>IF(B337&lt;=0.005,0,ROUND(B337*Inputs!$B$8,2))</f>
        <v/>
      </c>
      <c r="D337" s="25">
        <f>IF(B337&lt;=0.005,0,MIN(Inputs!$B$7,B337+C337))</f>
        <v/>
      </c>
      <c r="E337" s="25">
        <f>IF(B337&lt;=0.005,0,IF(A337=$B$4,MIN($B$3,B337-(D337-C337)),0))</f>
        <v/>
      </c>
      <c r="F337" s="25">
        <f>ROUND(B337-(D337-C337)-E337,2)</f>
        <v/>
      </c>
      <c r="H337" t="n">
        <v>152</v>
      </c>
      <c r="I337" s="25">
        <f>M336</f>
        <v/>
      </c>
      <c r="J337" s="25">
        <f>IF(I337&lt;=0.005,0,ROUND(I337*Inputs!$C$8,2))</f>
        <v/>
      </c>
      <c r="K337" s="25">
        <f>IF(I337&lt;=0.005,0,MIN(Inputs!$C$7,I337+J337))</f>
        <v/>
      </c>
      <c r="L337" s="25">
        <f>IF(I337&lt;=0.005,0,IF(H337=$B$4,MIN($B$3,I337-(K337-J337)),0))</f>
        <v/>
      </c>
      <c r="M337" s="25">
        <f>ROUND(I337-(K337-J337)-L337,2)</f>
        <v/>
      </c>
    </row>
    <row r="338">
      <c r="A338" t="n">
        <v>153</v>
      </c>
      <c r="B338" s="25">
        <f>F337</f>
        <v/>
      </c>
      <c r="C338" s="25">
        <f>IF(B338&lt;=0.005,0,ROUND(B338*Inputs!$B$8,2))</f>
        <v/>
      </c>
      <c r="D338" s="25">
        <f>IF(B338&lt;=0.005,0,MIN(Inputs!$B$7,B338+C338))</f>
        <v/>
      </c>
      <c r="E338" s="25">
        <f>IF(B338&lt;=0.005,0,IF(A338=$B$4,MIN($B$3,B338-(D338-C338)),0))</f>
        <v/>
      </c>
      <c r="F338" s="25">
        <f>ROUND(B338-(D338-C338)-E338,2)</f>
        <v/>
      </c>
      <c r="H338" t="n">
        <v>153</v>
      </c>
      <c r="I338" s="25">
        <f>M337</f>
        <v/>
      </c>
      <c r="J338" s="25">
        <f>IF(I338&lt;=0.005,0,ROUND(I338*Inputs!$C$8,2))</f>
        <v/>
      </c>
      <c r="K338" s="25">
        <f>IF(I338&lt;=0.005,0,MIN(Inputs!$C$7,I338+J338))</f>
        <v/>
      </c>
      <c r="L338" s="25">
        <f>IF(I338&lt;=0.005,0,IF(H338=$B$4,MIN($B$3,I338-(K338-J338)),0))</f>
        <v/>
      </c>
      <c r="M338" s="25">
        <f>ROUND(I338-(K338-J338)-L338,2)</f>
        <v/>
      </c>
    </row>
    <row r="339">
      <c r="A339" t="n">
        <v>154</v>
      </c>
      <c r="B339" s="25">
        <f>F338</f>
        <v/>
      </c>
      <c r="C339" s="25">
        <f>IF(B339&lt;=0.005,0,ROUND(B339*Inputs!$B$8,2))</f>
        <v/>
      </c>
      <c r="D339" s="25">
        <f>IF(B339&lt;=0.005,0,MIN(Inputs!$B$7,B339+C339))</f>
        <v/>
      </c>
      <c r="E339" s="25">
        <f>IF(B339&lt;=0.005,0,IF(A339=$B$4,MIN($B$3,B339-(D339-C339)),0))</f>
        <v/>
      </c>
      <c r="F339" s="25">
        <f>ROUND(B339-(D339-C339)-E339,2)</f>
        <v/>
      </c>
      <c r="H339" t="n">
        <v>154</v>
      </c>
      <c r="I339" s="25">
        <f>M338</f>
        <v/>
      </c>
      <c r="J339" s="25">
        <f>IF(I339&lt;=0.005,0,ROUND(I339*Inputs!$C$8,2))</f>
        <v/>
      </c>
      <c r="K339" s="25">
        <f>IF(I339&lt;=0.005,0,MIN(Inputs!$C$7,I339+J339))</f>
        <v/>
      </c>
      <c r="L339" s="25">
        <f>IF(I339&lt;=0.005,0,IF(H339=$B$4,MIN($B$3,I339-(K339-J339)),0))</f>
        <v/>
      </c>
      <c r="M339" s="25">
        <f>ROUND(I339-(K339-J339)-L339,2)</f>
        <v/>
      </c>
    </row>
    <row r="340">
      <c r="A340" t="n">
        <v>155</v>
      </c>
      <c r="B340" s="25">
        <f>F339</f>
        <v/>
      </c>
      <c r="C340" s="25">
        <f>IF(B340&lt;=0.005,0,ROUND(B340*Inputs!$B$8,2))</f>
        <v/>
      </c>
      <c r="D340" s="25">
        <f>IF(B340&lt;=0.005,0,MIN(Inputs!$B$7,B340+C340))</f>
        <v/>
      </c>
      <c r="E340" s="25">
        <f>IF(B340&lt;=0.005,0,IF(A340=$B$4,MIN($B$3,B340-(D340-C340)),0))</f>
        <v/>
      </c>
      <c r="F340" s="25">
        <f>ROUND(B340-(D340-C340)-E340,2)</f>
        <v/>
      </c>
      <c r="H340" t="n">
        <v>155</v>
      </c>
      <c r="I340" s="25">
        <f>M339</f>
        <v/>
      </c>
      <c r="J340" s="25">
        <f>IF(I340&lt;=0.005,0,ROUND(I340*Inputs!$C$8,2))</f>
        <v/>
      </c>
      <c r="K340" s="25">
        <f>IF(I340&lt;=0.005,0,MIN(Inputs!$C$7,I340+J340))</f>
        <v/>
      </c>
      <c r="L340" s="25">
        <f>IF(I340&lt;=0.005,0,IF(H340=$B$4,MIN($B$3,I340-(K340-J340)),0))</f>
        <v/>
      </c>
      <c r="M340" s="25">
        <f>ROUND(I340-(K340-J340)-L340,2)</f>
        <v/>
      </c>
    </row>
    <row r="341">
      <c r="A341" t="n">
        <v>156</v>
      </c>
      <c r="B341" s="25">
        <f>F340</f>
        <v/>
      </c>
      <c r="C341" s="25">
        <f>IF(B341&lt;=0.005,0,ROUND(B341*Inputs!$B$8,2))</f>
        <v/>
      </c>
      <c r="D341" s="25">
        <f>IF(B341&lt;=0.005,0,MIN(Inputs!$B$7,B341+C341))</f>
        <v/>
      </c>
      <c r="E341" s="25">
        <f>IF(B341&lt;=0.005,0,IF(A341=$B$4,MIN($B$3,B341-(D341-C341)),0))</f>
        <v/>
      </c>
      <c r="F341" s="25">
        <f>ROUND(B341-(D341-C341)-E341,2)</f>
        <v/>
      </c>
      <c r="H341" t="n">
        <v>156</v>
      </c>
      <c r="I341" s="25">
        <f>M340</f>
        <v/>
      </c>
      <c r="J341" s="25">
        <f>IF(I341&lt;=0.005,0,ROUND(I341*Inputs!$C$8,2))</f>
        <v/>
      </c>
      <c r="K341" s="25">
        <f>IF(I341&lt;=0.005,0,MIN(Inputs!$C$7,I341+J341))</f>
        <v/>
      </c>
      <c r="L341" s="25">
        <f>IF(I341&lt;=0.005,0,IF(H341=$B$4,MIN($B$3,I341-(K341-J341)),0))</f>
        <v/>
      </c>
      <c r="M341" s="25">
        <f>ROUND(I341-(K341-J341)-L341,2)</f>
        <v/>
      </c>
    </row>
    <row r="342">
      <c r="A342" t="n">
        <v>157</v>
      </c>
      <c r="B342" s="25">
        <f>F341</f>
        <v/>
      </c>
      <c r="C342" s="25">
        <f>IF(B342&lt;=0.005,0,ROUND(B342*Inputs!$B$8,2))</f>
        <v/>
      </c>
      <c r="D342" s="25">
        <f>IF(B342&lt;=0.005,0,MIN(Inputs!$B$7,B342+C342))</f>
        <v/>
      </c>
      <c r="E342" s="25">
        <f>IF(B342&lt;=0.005,0,IF(A342=$B$4,MIN($B$3,B342-(D342-C342)),0))</f>
        <v/>
      </c>
      <c r="F342" s="25">
        <f>ROUND(B342-(D342-C342)-E342,2)</f>
        <v/>
      </c>
      <c r="H342" t="n">
        <v>157</v>
      </c>
      <c r="I342" s="25">
        <f>M341</f>
        <v/>
      </c>
      <c r="J342" s="25">
        <f>IF(I342&lt;=0.005,0,ROUND(I342*Inputs!$C$8,2))</f>
        <v/>
      </c>
      <c r="K342" s="25">
        <f>IF(I342&lt;=0.005,0,MIN(Inputs!$C$7,I342+J342))</f>
        <v/>
      </c>
      <c r="L342" s="25">
        <f>IF(I342&lt;=0.005,0,IF(H342=$B$4,MIN($B$3,I342-(K342-J342)),0))</f>
        <v/>
      </c>
      <c r="M342" s="25">
        <f>ROUND(I342-(K342-J342)-L342,2)</f>
        <v/>
      </c>
    </row>
    <row r="343">
      <c r="A343" t="n">
        <v>158</v>
      </c>
      <c r="B343" s="25">
        <f>F342</f>
        <v/>
      </c>
      <c r="C343" s="25">
        <f>IF(B343&lt;=0.005,0,ROUND(B343*Inputs!$B$8,2))</f>
        <v/>
      </c>
      <c r="D343" s="25">
        <f>IF(B343&lt;=0.005,0,MIN(Inputs!$B$7,B343+C343))</f>
        <v/>
      </c>
      <c r="E343" s="25">
        <f>IF(B343&lt;=0.005,0,IF(A343=$B$4,MIN($B$3,B343-(D343-C343)),0))</f>
        <v/>
      </c>
      <c r="F343" s="25">
        <f>ROUND(B343-(D343-C343)-E343,2)</f>
        <v/>
      </c>
      <c r="H343" t="n">
        <v>158</v>
      </c>
      <c r="I343" s="25">
        <f>M342</f>
        <v/>
      </c>
      <c r="J343" s="25">
        <f>IF(I343&lt;=0.005,0,ROUND(I343*Inputs!$C$8,2))</f>
        <v/>
      </c>
      <c r="K343" s="25">
        <f>IF(I343&lt;=0.005,0,MIN(Inputs!$C$7,I343+J343))</f>
        <v/>
      </c>
      <c r="L343" s="25">
        <f>IF(I343&lt;=0.005,0,IF(H343=$B$4,MIN($B$3,I343-(K343-J343)),0))</f>
        <v/>
      </c>
      <c r="M343" s="25">
        <f>ROUND(I343-(K343-J343)-L343,2)</f>
        <v/>
      </c>
    </row>
    <row r="344">
      <c r="A344" t="n">
        <v>159</v>
      </c>
      <c r="B344" s="25">
        <f>F343</f>
        <v/>
      </c>
      <c r="C344" s="25">
        <f>IF(B344&lt;=0.005,0,ROUND(B344*Inputs!$B$8,2))</f>
        <v/>
      </c>
      <c r="D344" s="25">
        <f>IF(B344&lt;=0.005,0,MIN(Inputs!$B$7,B344+C344))</f>
        <v/>
      </c>
      <c r="E344" s="25">
        <f>IF(B344&lt;=0.005,0,IF(A344=$B$4,MIN($B$3,B344-(D344-C344)),0))</f>
        <v/>
      </c>
      <c r="F344" s="25">
        <f>ROUND(B344-(D344-C344)-E344,2)</f>
        <v/>
      </c>
      <c r="H344" t="n">
        <v>159</v>
      </c>
      <c r="I344" s="25">
        <f>M343</f>
        <v/>
      </c>
      <c r="J344" s="25">
        <f>IF(I344&lt;=0.005,0,ROUND(I344*Inputs!$C$8,2))</f>
        <v/>
      </c>
      <c r="K344" s="25">
        <f>IF(I344&lt;=0.005,0,MIN(Inputs!$C$7,I344+J344))</f>
        <v/>
      </c>
      <c r="L344" s="25">
        <f>IF(I344&lt;=0.005,0,IF(H344=$B$4,MIN($B$3,I344-(K344-J344)),0))</f>
        <v/>
      </c>
      <c r="M344" s="25">
        <f>ROUND(I344-(K344-J344)-L344,2)</f>
        <v/>
      </c>
    </row>
    <row r="345">
      <c r="A345" t="n">
        <v>160</v>
      </c>
      <c r="B345" s="25">
        <f>F344</f>
        <v/>
      </c>
      <c r="C345" s="25">
        <f>IF(B345&lt;=0.005,0,ROUND(B345*Inputs!$B$8,2))</f>
        <v/>
      </c>
      <c r="D345" s="25">
        <f>IF(B345&lt;=0.005,0,MIN(Inputs!$B$7,B345+C345))</f>
        <v/>
      </c>
      <c r="E345" s="25">
        <f>IF(B345&lt;=0.005,0,IF(A345=$B$4,MIN($B$3,B345-(D345-C345)),0))</f>
        <v/>
      </c>
      <c r="F345" s="25">
        <f>ROUND(B345-(D345-C345)-E345,2)</f>
        <v/>
      </c>
      <c r="H345" t="n">
        <v>160</v>
      </c>
      <c r="I345" s="25">
        <f>M344</f>
        <v/>
      </c>
      <c r="J345" s="25">
        <f>IF(I345&lt;=0.005,0,ROUND(I345*Inputs!$C$8,2))</f>
        <v/>
      </c>
      <c r="K345" s="25">
        <f>IF(I345&lt;=0.005,0,MIN(Inputs!$C$7,I345+J345))</f>
        <v/>
      </c>
      <c r="L345" s="25">
        <f>IF(I345&lt;=0.005,0,IF(H345=$B$4,MIN($B$3,I345-(K345-J345)),0))</f>
        <v/>
      </c>
      <c r="M345" s="25">
        <f>ROUND(I345-(K345-J345)-L345,2)</f>
        <v/>
      </c>
    </row>
    <row r="346">
      <c r="A346" t="n">
        <v>161</v>
      </c>
      <c r="B346" s="25">
        <f>F345</f>
        <v/>
      </c>
      <c r="C346" s="25">
        <f>IF(B346&lt;=0.005,0,ROUND(B346*Inputs!$B$8,2))</f>
        <v/>
      </c>
      <c r="D346" s="25">
        <f>IF(B346&lt;=0.005,0,MIN(Inputs!$B$7,B346+C346))</f>
        <v/>
      </c>
      <c r="E346" s="25">
        <f>IF(B346&lt;=0.005,0,IF(A346=$B$4,MIN($B$3,B346-(D346-C346)),0))</f>
        <v/>
      </c>
      <c r="F346" s="25">
        <f>ROUND(B346-(D346-C346)-E346,2)</f>
        <v/>
      </c>
      <c r="H346" t="n">
        <v>161</v>
      </c>
      <c r="I346" s="25">
        <f>M345</f>
        <v/>
      </c>
      <c r="J346" s="25">
        <f>IF(I346&lt;=0.005,0,ROUND(I346*Inputs!$C$8,2))</f>
        <v/>
      </c>
      <c r="K346" s="25">
        <f>IF(I346&lt;=0.005,0,MIN(Inputs!$C$7,I346+J346))</f>
        <v/>
      </c>
      <c r="L346" s="25">
        <f>IF(I346&lt;=0.005,0,IF(H346=$B$4,MIN($B$3,I346-(K346-J346)),0))</f>
        <v/>
      </c>
      <c r="M346" s="25">
        <f>ROUND(I346-(K346-J346)-L346,2)</f>
        <v/>
      </c>
    </row>
    <row r="347">
      <c r="A347" t="n">
        <v>162</v>
      </c>
      <c r="B347" s="25">
        <f>F346</f>
        <v/>
      </c>
      <c r="C347" s="25">
        <f>IF(B347&lt;=0.005,0,ROUND(B347*Inputs!$B$8,2))</f>
        <v/>
      </c>
      <c r="D347" s="25">
        <f>IF(B347&lt;=0.005,0,MIN(Inputs!$B$7,B347+C347))</f>
        <v/>
      </c>
      <c r="E347" s="25">
        <f>IF(B347&lt;=0.005,0,IF(A347=$B$4,MIN($B$3,B347-(D347-C347)),0))</f>
        <v/>
      </c>
      <c r="F347" s="25">
        <f>ROUND(B347-(D347-C347)-E347,2)</f>
        <v/>
      </c>
      <c r="H347" t="n">
        <v>162</v>
      </c>
      <c r="I347" s="25">
        <f>M346</f>
        <v/>
      </c>
      <c r="J347" s="25">
        <f>IF(I347&lt;=0.005,0,ROUND(I347*Inputs!$C$8,2))</f>
        <v/>
      </c>
      <c r="K347" s="25">
        <f>IF(I347&lt;=0.005,0,MIN(Inputs!$C$7,I347+J347))</f>
        <v/>
      </c>
      <c r="L347" s="25">
        <f>IF(I347&lt;=0.005,0,IF(H347=$B$4,MIN($B$3,I347-(K347-J347)),0))</f>
        <v/>
      </c>
      <c r="M347" s="25">
        <f>ROUND(I347-(K347-J347)-L347,2)</f>
        <v/>
      </c>
    </row>
    <row r="348">
      <c r="A348" t="n">
        <v>163</v>
      </c>
      <c r="B348" s="25">
        <f>F347</f>
        <v/>
      </c>
      <c r="C348" s="25">
        <f>IF(B348&lt;=0.005,0,ROUND(B348*Inputs!$B$8,2))</f>
        <v/>
      </c>
      <c r="D348" s="25">
        <f>IF(B348&lt;=0.005,0,MIN(Inputs!$B$7,B348+C348))</f>
        <v/>
      </c>
      <c r="E348" s="25">
        <f>IF(B348&lt;=0.005,0,IF(A348=$B$4,MIN($B$3,B348-(D348-C348)),0))</f>
        <v/>
      </c>
      <c r="F348" s="25">
        <f>ROUND(B348-(D348-C348)-E348,2)</f>
        <v/>
      </c>
      <c r="H348" t="n">
        <v>163</v>
      </c>
      <c r="I348" s="25">
        <f>M347</f>
        <v/>
      </c>
      <c r="J348" s="25">
        <f>IF(I348&lt;=0.005,0,ROUND(I348*Inputs!$C$8,2))</f>
        <v/>
      </c>
      <c r="K348" s="25">
        <f>IF(I348&lt;=0.005,0,MIN(Inputs!$C$7,I348+J348))</f>
        <v/>
      </c>
      <c r="L348" s="25">
        <f>IF(I348&lt;=0.005,0,IF(H348=$B$4,MIN($B$3,I348-(K348-J348)),0))</f>
        <v/>
      </c>
      <c r="M348" s="25">
        <f>ROUND(I348-(K348-J348)-L348,2)</f>
        <v/>
      </c>
    </row>
    <row r="349">
      <c r="A349" t="n">
        <v>164</v>
      </c>
      <c r="B349" s="25">
        <f>F348</f>
        <v/>
      </c>
      <c r="C349" s="25">
        <f>IF(B349&lt;=0.005,0,ROUND(B349*Inputs!$B$8,2))</f>
        <v/>
      </c>
      <c r="D349" s="25">
        <f>IF(B349&lt;=0.005,0,MIN(Inputs!$B$7,B349+C349))</f>
        <v/>
      </c>
      <c r="E349" s="25">
        <f>IF(B349&lt;=0.005,0,IF(A349=$B$4,MIN($B$3,B349-(D349-C349)),0))</f>
        <v/>
      </c>
      <c r="F349" s="25">
        <f>ROUND(B349-(D349-C349)-E349,2)</f>
        <v/>
      </c>
      <c r="H349" t="n">
        <v>164</v>
      </c>
      <c r="I349" s="25">
        <f>M348</f>
        <v/>
      </c>
      <c r="J349" s="25">
        <f>IF(I349&lt;=0.005,0,ROUND(I349*Inputs!$C$8,2))</f>
        <v/>
      </c>
      <c r="K349" s="25">
        <f>IF(I349&lt;=0.005,0,MIN(Inputs!$C$7,I349+J349))</f>
        <v/>
      </c>
      <c r="L349" s="25">
        <f>IF(I349&lt;=0.005,0,IF(H349=$B$4,MIN($B$3,I349-(K349-J349)),0))</f>
        <v/>
      </c>
      <c r="M349" s="25">
        <f>ROUND(I349-(K349-J349)-L349,2)</f>
        <v/>
      </c>
    </row>
    <row r="350">
      <c r="A350" t="n">
        <v>165</v>
      </c>
      <c r="B350" s="25">
        <f>F349</f>
        <v/>
      </c>
      <c r="C350" s="25">
        <f>IF(B350&lt;=0.005,0,ROUND(B350*Inputs!$B$8,2))</f>
        <v/>
      </c>
      <c r="D350" s="25">
        <f>IF(B350&lt;=0.005,0,MIN(Inputs!$B$7,B350+C350))</f>
        <v/>
      </c>
      <c r="E350" s="25">
        <f>IF(B350&lt;=0.005,0,IF(A350=$B$4,MIN($B$3,B350-(D350-C350)),0))</f>
        <v/>
      </c>
      <c r="F350" s="25">
        <f>ROUND(B350-(D350-C350)-E350,2)</f>
        <v/>
      </c>
      <c r="H350" t="n">
        <v>165</v>
      </c>
      <c r="I350" s="25">
        <f>M349</f>
        <v/>
      </c>
      <c r="J350" s="25">
        <f>IF(I350&lt;=0.005,0,ROUND(I350*Inputs!$C$8,2))</f>
        <v/>
      </c>
      <c r="K350" s="25">
        <f>IF(I350&lt;=0.005,0,MIN(Inputs!$C$7,I350+J350))</f>
        <v/>
      </c>
      <c r="L350" s="25">
        <f>IF(I350&lt;=0.005,0,IF(H350=$B$4,MIN($B$3,I350-(K350-J350)),0))</f>
        <v/>
      </c>
      <c r="M350" s="25">
        <f>ROUND(I350-(K350-J350)-L350,2)</f>
        <v/>
      </c>
    </row>
    <row r="351">
      <c r="A351" t="n">
        <v>166</v>
      </c>
      <c r="B351" s="25">
        <f>F350</f>
        <v/>
      </c>
      <c r="C351" s="25">
        <f>IF(B351&lt;=0.005,0,ROUND(B351*Inputs!$B$8,2))</f>
        <v/>
      </c>
      <c r="D351" s="25">
        <f>IF(B351&lt;=0.005,0,MIN(Inputs!$B$7,B351+C351))</f>
        <v/>
      </c>
      <c r="E351" s="25">
        <f>IF(B351&lt;=0.005,0,IF(A351=$B$4,MIN($B$3,B351-(D351-C351)),0))</f>
        <v/>
      </c>
      <c r="F351" s="25">
        <f>ROUND(B351-(D351-C351)-E351,2)</f>
        <v/>
      </c>
      <c r="H351" t="n">
        <v>166</v>
      </c>
      <c r="I351" s="25">
        <f>M350</f>
        <v/>
      </c>
      <c r="J351" s="25">
        <f>IF(I351&lt;=0.005,0,ROUND(I351*Inputs!$C$8,2))</f>
        <v/>
      </c>
      <c r="K351" s="25">
        <f>IF(I351&lt;=0.005,0,MIN(Inputs!$C$7,I351+J351))</f>
        <v/>
      </c>
      <c r="L351" s="25">
        <f>IF(I351&lt;=0.005,0,IF(H351=$B$4,MIN($B$3,I351-(K351-J351)),0))</f>
        <v/>
      </c>
      <c r="M351" s="25">
        <f>ROUND(I351-(K351-J351)-L351,2)</f>
        <v/>
      </c>
    </row>
    <row r="352">
      <c r="A352" t="n">
        <v>167</v>
      </c>
      <c r="B352" s="25">
        <f>F351</f>
        <v/>
      </c>
      <c r="C352" s="25">
        <f>IF(B352&lt;=0.005,0,ROUND(B352*Inputs!$B$8,2))</f>
        <v/>
      </c>
      <c r="D352" s="25">
        <f>IF(B352&lt;=0.005,0,MIN(Inputs!$B$7,B352+C352))</f>
        <v/>
      </c>
      <c r="E352" s="25">
        <f>IF(B352&lt;=0.005,0,IF(A352=$B$4,MIN($B$3,B352-(D352-C352)),0))</f>
        <v/>
      </c>
      <c r="F352" s="25">
        <f>ROUND(B352-(D352-C352)-E352,2)</f>
        <v/>
      </c>
      <c r="H352" t="n">
        <v>167</v>
      </c>
      <c r="I352" s="25">
        <f>M351</f>
        <v/>
      </c>
      <c r="J352" s="25">
        <f>IF(I352&lt;=0.005,0,ROUND(I352*Inputs!$C$8,2))</f>
        <v/>
      </c>
      <c r="K352" s="25">
        <f>IF(I352&lt;=0.005,0,MIN(Inputs!$C$7,I352+J352))</f>
        <v/>
      </c>
      <c r="L352" s="25">
        <f>IF(I352&lt;=0.005,0,IF(H352=$B$4,MIN($B$3,I352-(K352-J352)),0))</f>
        <v/>
      </c>
      <c r="M352" s="25">
        <f>ROUND(I352-(K352-J352)-L352,2)</f>
        <v/>
      </c>
    </row>
    <row r="353">
      <c r="A353" t="n">
        <v>168</v>
      </c>
      <c r="B353" s="25">
        <f>F352</f>
        <v/>
      </c>
      <c r="C353" s="25">
        <f>IF(B353&lt;=0.005,0,ROUND(B353*Inputs!$B$8,2))</f>
        <v/>
      </c>
      <c r="D353" s="25">
        <f>IF(B353&lt;=0.005,0,MIN(Inputs!$B$7,B353+C353))</f>
        <v/>
      </c>
      <c r="E353" s="25">
        <f>IF(B353&lt;=0.005,0,IF(A353=$B$4,MIN($B$3,B353-(D353-C353)),0))</f>
        <v/>
      </c>
      <c r="F353" s="25">
        <f>ROUND(B353-(D353-C353)-E353,2)</f>
        <v/>
      </c>
      <c r="H353" t="n">
        <v>168</v>
      </c>
      <c r="I353" s="25">
        <f>M352</f>
        <v/>
      </c>
      <c r="J353" s="25">
        <f>IF(I353&lt;=0.005,0,ROUND(I353*Inputs!$C$8,2))</f>
        <v/>
      </c>
      <c r="K353" s="25">
        <f>IF(I353&lt;=0.005,0,MIN(Inputs!$C$7,I353+J353))</f>
        <v/>
      </c>
      <c r="L353" s="25">
        <f>IF(I353&lt;=0.005,0,IF(H353=$B$4,MIN($B$3,I353-(K353-J353)),0))</f>
        <v/>
      </c>
      <c r="M353" s="25">
        <f>ROUND(I353-(K353-J353)-L353,2)</f>
        <v/>
      </c>
    </row>
    <row r="354">
      <c r="A354" t="n">
        <v>169</v>
      </c>
      <c r="B354" s="25">
        <f>F353</f>
        <v/>
      </c>
      <c r="C354" s="25">
        <f>IF(B354&lt;=0.005,0,ROUND(B354*Inputs!$B$8,2))</f>
        <v/>
      </c>
      <c r="D354" s="25">
        <f>IF(B354&lt;=0.005,0,MIN(Inputs!$B$7,B354+C354))</f>
        <v/>
      </c>
      <c r="E354" s="25">
        <f>IF(B354&lt;=0.005,0,IF(A354=$B$4,MIN($B$3,B354-(D354-C354)),0))</f>
        <v/>
      </c>
      <c r="F354" s="25">
        <f>ROUND(B354-(D354-C354)-E354,2)</f>
        <v/>
      </c>
      <c r="H354" t="n">
        <v>169</v>
      </c>
      <c r="I354" s="25">
        <f>M353</f>
        <v/>
      </c>
      <c r="J354" s="25">
        <f>IF(I354&lt;=0.005,0,ROUND(I354*Inputs!$C$8,2))</f>
        <v/>
      </c>
      <c r="K354" s="25">
        <f>IF(I354&lt;=0.005,0,MIN(Inputs!$C$7,I354+J354))</f>
        <v/>
      </c>
      <c r="L354" s="25">
        <f>IF(I354&lt;=0.005,0,IF(H354=$B$4,MIN($B$3,I354-(K354-J354)),0))</f>
        <v/>
      </c>
      <c r="M354" s="25">
        <f>ROUND(I354-(K354-J354)-L354,2)</f>
        <v/>
      </c>
    </row>
    <row r="355">
      <c r="A355" t="n">
        <v>170</v>
      </c>
      <c r="B355" s="25">
        <f>F354</f>
        <v/>
      </c>
      <c r="C355" s="25">
        <f>IF(B355&lt;=0.005,0,ROUND(B355*Inputs!$B$8,2))</f>
        <v/>
      </c>
      <c r="D355" s="25">
        <f>IF(B355&lt;=0.005,0,MIN(Inputs!$B$7,B355+C355))</f>
        <v/>
      </c>
      <c r="E355" s="25">
        <f>IF(B355&lt;=0.005,0,IF(A355=$B$4,MIN($B$3,B355-(D355-C355)),0))</f>
        <v/>
      </c>
      <c r="F355" s="25">
        <f>ROUND(B355-(D355-C355)-E355,2)</f>
        <v/>
      </c>
      <c r="H355" t="n">
        <v>170</v>
      </c>
      <c r="I355" s="25">
        <f>M354</f>
        <v/>
      </c>
      <c r="J355" s="25">
        <f>IF(I355&lt;=0.005,0,ROUND(I355*Inputs!$C$8,2))</f>
        <v/>
      </c>
      <c r="K355" s="25">
        <f>IF(I355&lt;=0.005,0,MIN(Inputs!$C$7,I355+J355))</f>
        <v/>
      </c>
      <c r="L355" s="25">
        <f>IF(I355&lt;=0.005,0,IF(H355=$B$4,MIN($B$3,I355-(K355-J355)),0))</f>
        <v/>
      </c>
      <c r="M355" s="25">
        <f>ROUND(I355-(K355-J355)-L355,2)</f>
        <v/>
      </c>
    </row>
    <row r="356">
      <c r="A356" t="n">
        <v>171</v>
      </c>
      <c r="B356" s="25">
        <f>F355</f>
        <v/>
      </c>
      <c r="C356" s="25">
        <f>IF(B356&lt;=0.005,0,ROUND(B356*Inputs!$B$8,2))</f>
        <v/>
      </c>
      <c r="D356" s="25">
        <f>IF(B356&lt;=0.005,0,MIN(Inputs!$B$7,B356+C356))</f>
        <v/>
      </c>
      <c r="E356" s="25">
        <f>IF(B356&lt;=0.005,0,IF(A356=$B$4,MIN($B$3,B356-(D356-C356)),0))</f>
        <v/>
      </c>
      <c r="F356" s="25">
        <f>ROUND(B356-(D356-C356)-E356,2)</f>
        <v/>
      </c>
      <c r="H356" t="n">
        <v>171</v>
      </c>
      <c r="I356" s="25">
        <f>M355</f>
        <v/>
      </c>
      <c r="J356" s="25">
        <f>IF(I356&lt;=0.005,0,ROUND(I356*Inputs!$C$8,2))</f>
        <v/>
      </c>
      <c r="K356" s="25">
        <f>IF(I356&lt;=0.005,0,MIN(Inputs!$C$7,I356+J356))</f>
        <v/>
      </c>
      <c r="L356" s="25">
        <f>IF(I356&lt;=0.005,0,IF(H356=$B$4,MIN($B$3,I356-(K356-J356)),0))</f>
        <v/>
      </c>
      <c r="M356" s="25">
        <f>ROUND(I356-(K356-J356)-L356,2)</f>
        <v/>
      </c>
    </row>
    <row r="357">
      <c r="A357" t="n">
        <v>172</v>
      </c>
      <c r="B357" s="25">
        <f>F356</f>
        <v/>
      </c>
      <c r="C357" s="25">
        <f>IF(B357&lt;=0.005,0,ROUND(B357*Inputs!$B$8,2))</f>
        <v/>
      </c>
      <c r="D357" s="25">
        <f>IF(B357&lt;=0.005,0,MIN(Inputs!$B$7,B357+C357))</f>
        <v/>
      </c>
      <c r="E357" s="25">
        <f>IF(B357&lt;=0.005,0,IF(A357=$B$4,MIN($B$3,B357-(D357-C357)),0))</f>
        <v/>
      </c>
      <c r="F357" s="25">
        <f>ROUND(B357-(D357-C357)-E357,2)</f>
        <v/>
      </c>
      <c r="H357" t="n">
        <v>172</v>
      </c>
      <c r="I357" s="25">
        <f>M356</f>
        <v/>
      </c>
      <c r="J357" s="25">
        <f>IF(I357&lt;=0.005,0,ROUND(I357*Inputs!$C$8,2))</f>
        <v/>
      </c>
      <c r="K357" s="25">
        <f>IF(I357&lt;=0.005,0,MIN(Inputs!$C$7,I357+J357))</f>
        <v/>
      </c>
      <c r="L357" s="25">
        <f>IF(I357&lt;=0.005,0,IF(H357=$B$4,MIN($B$3,I357-(K357-J357)),0))</f>
        <v/>
      </c>
      <c r="M357" s="25">
        <f>ROUND(I357-(K357-J357)-L357,2)</f>
        <v/>
      </c>
    </row>
    <row r="358">
      <c r="A358" t="n">
        <v>173</v>
      </c>
      <c r="B358" s="25">
        <f>F357</f>
        <v/>
      </c>
      <c r="C358" s="25">
        <f>IF(B358&lt;=0.005,0,ROUND(B358*Inputs!$B$8,2))</f>
        <v/>
      </c>
      <c r="D358" s="25">
        <f>IF(B358&lt;=0.005,0,MIN(Inputs!$B$7,B358+C358))</f>
        <v/>
      </c>
      <c r="E358" s="25">
        <f>IF(B358&lt;=0.005,0,IF(A358=$B$4,MIN($B$3,B358-(D358-C358)),0))</f>
        <v/>
      </c>
      <c r="F358" s="25">
        <f>ROUND(B358-(D358-C358)-E358,2)</f>
        <v/>
      </c>
      <c r="H358" t="n">
        <v>173</v>
      </c>
      <c r="I358" s="25">
        <f>M357</f>
        <v/>
      </c>
      <c r="J358" s="25">
        <f>IF(I358&lt;=0.005,0,ROUND(I358*Inputs!$C$8,2))</f>
        <v/>
      </c>
      <c r="K358" s="25">
        <f>IF(I358&lt;=0.005,0,MIN(Inputs!$C$7,I358+J358))</f>
        <v/>
      </c>
      <c r="L358" s="25">
        <f>IF(I358&lt;=0.005,0,IF(H358=$B$4,MIN($B$3,I358-(K358-J358)),0))</f>
        <v/>
      </c>
      <c r="M358" s="25">
        <f>ROUND(I358-(K358-J358)-L358,2)</f>
        <v/>
      </c>
    </row>
    <row r="359">
      <c r="A359" t="n">
        <v>174</v>
      </c>
      <c r="B359" s="25">
        <f>F358</f>
        <v/>
      </c>
      <c r="C359" s="25">
        <f>IF(B359&lt;=0.005,0,ROUND(B359*Inputs!$B$8,2))</f>
        <v/>
      </c>
      <c r="D359" s="25">
        <f>IF(B359&lt;=0.005,0,MIN(Inputs!$B$7,B359+C359))</f>
        <v/>
      </c>
      <c r="E359" s="25">
        <f>IF(B359&lt;=0.005,0,IF(A359=$B$4,MIN($B$3,B359-(D359-C359)),0))</f>
        <v/>
      </c>
      <c r="F359" s="25">
        <f>ROUND(B359-(D359-C359)-E359,2)</f>
        <v/>
      </c>
      <c r="H359" t="n">
        <v>174</v>
      </c>
      <c r="I359" s="25">
        <f>M358</f>
        <v/>
      </c>
      <c r="J359" s="25">
        <f>IF(I359&lt;=0.005,0,ROUND(I359*Inputs!$C$8,2))</f>
        <v/>
      </c>
      <c r="K359" s="25">
        <f>IF(I359&lt;=0.005,0,MIN(Inputs!$C$7,I359+J359))</f>
        <v/>
      </c>
      <c r="L359" s="25">
        <f>IF(I359&lt;=0.005,0,IF(H359=$B$4,MIN($B$3,I359-(K359-J359)),0))</f>
        <v/>
      </c>
      <c r="M359" s="25">
        <f>ROUND(I359-(K359-J359)-L359,2)</f>
        <v/>
      </c>
    </row>
    <row r="360">
      <c r="A360" t="n">
        <v>175</v>
      </c>
      <c r="B360" s="25">
        <f>F359</f>
        <v/>
      </c>
      <c r="C360" s="25">
        <f>IF(B360&lt;=0.005,0,ROUND(B360*Inputs!$B$8,2))</f>
        <v/>
      </c>
      <c r="D360" s="25">
        <f>IF(B360&lt;=0.005,0,MIN(Inputs!$B$7,B360+C360))</f>
        <v/>
      </c>
      <c r="E360" s="25">
        <f>IF(B360&lt;=0.005,0,IF(A360=$B$4,MIN($B$3,B360-(D360-C360)),0))</f>
        <v/>
      </c>
      <c r="F360" s="25">
        <f>ROUND(B360-(D360-C360)-E360,2)</f>
        <v/>
      </c>
      <c r="H360" t="n">
        <v>175</v>
      </c>
      <c r="I360" s="25">
        <f>M359</f>
        <v/>
      </c>
      <c r="J360" s="25">
        <f>IF(I360&lt;=0.005,0,ROUND(I360*Inputs!$C$8,2))</f>
        <v/>
      </c>
      <c r="K360" s="25">
        <f>IF(I360&lt;=0.005,0,MIN(Inputs!$C$7,I360+J360))</f>
        <v/>
      </c>
      <c r="L360" s="25">
        <f>IF(I360&lt;=0.005,0,IF(H360=$B$4,MIN($B$3,I360-(K360-J360)),0))</f>
        <v/>
      </c>
      <c r="M360" s="25">
        <f>ROUND(I360-(K360-J360)-L360,2)</f>
        <v/>
      </c>
    </row>
    <row r="361">
      <c r="A361" t="n">
        <v>176</v>
      </c>
      <c r="B361" s="25">
        <f>F360</f>
        <v/>
      </c>
      <c r="C361" s="25">
        <f>IF(B361&lt;=0.005,0,ROUND(B361*Inputs!$B$8,2))</f>
        <v/>
      </c>
      <c r="D361" s="25">
        <f>IF(B361&lt;=0.005,0,MIN(Inputs!$B$7,B361+C361))</f>
        <v/>
      </c>
      <c r="E361" s="25">
        <f>IF(B361&lt;=0.005,0,IF(A361=$B$4,MIN($B$3,B361-(D361-C361)),0))</f>
        <v/>
      </c>
      <c r="F361" s="25">
        <f>ROUND(B361-(D361-C361)-E361,2)</f>
        <v/>
      </c>
      <c r="H361" t="n">
        <v>176</v>
      </c>
      <c r="I361" s="25">
        <f>M360</f>
        <v/>
      </c>
      <c r="J361" s="25">
        <f>IF(I361&lt;=0.005,0,ROUND(I361*Inputs!$C$8,2))</f>
        <v/>
      </c>
      <c r="K361" s="25">
        <f>IF(I361&lt;=0.005,0,MIN(Inputs!$C$7,I361+J361))</f>
        <v/>
      </c>
      <c r="L361" s="25">
        <f>IF(I361&lt;=0.005,0,IF(H361=$B$4,MIN($B$3,I361-(K361-J361)),0))</f>
        <v/>
      </c>
      <c r="M361" s="25">
        <f>ROUND(I361-(K361-J361)-L361,2)</f>
        <v/>
      </c>
    </row>
    <row r="362">
      <c r="A362" t="n">
        <v>177</v>
      </c>
      <c r="B362" s="25">
        <f>F361</f>
        <v/>
      </c>
      <c r="C362" s="25">
        <f>IF(B362&lt;=0.005,0,ROUND(B362*Inputs!$B$8,2))</f>
        <v/>
      </c>
      <c r="D362" s="25">
        <f>IF(B362&lt;=0.005,0,MIN(Inputs!$B$7,B362+C362))</f>
        <v/>
      </c>
      <c r="E362" s="25">
        <f>IF(B362&lt;=0.005,0,IF(A362=$B$4,MIN($B$3,B362-(D362-C362)),0))</f>
        <v/>
      </c>
      <c r="F362" s="25">
        <f>ROUND(B362-(D362-C362)-E362,2)</f>
        <v/>
      </c>
      <c r="H362" t="n">
        <v>177</v>
      </c>
      <c r="I362" s="25">
        <f>M361</f>
        <v/>
      </c>
      <c r="J362" s="25">
        <f>IF(I362&lt;=0.005,0,ROUND(I362*Inputs!$C$8,2))</f>
        <v/>
      </c>
      <c r="K362" s="25">
        <f>IF(I362&lt;=0.005,0,MIN(Inputs!$C$7,I362+J362))</f>
        <v/>
      </c>
      <c r="L362" s="25">
        <f>IF(I362&lt;=0.005,0,IF(H362=$B$4,MIN($B$3,I362-(K362-J362)),0))</f>
        <v/>
      </c>
      <c r="M362" s="25">
        <f>ROUND(I362-(K362-J362)-L362,2)</f>
        <v/>
      </c>
    </row>
    <row r="363">
      <c r="A363" t="n">
        <v>178</v>
      </c>
      <c r="B363" s="25">
        <f>F362</f>
        <v/>
      </c>
      <c r="C363" s="25">
        <f>IF(B363&lt;=0.005,0,ROUND(B363*Inputs!$B$8,2))</f>
        <v/>
      </c>
      <c r="D363" s="25">
        <f>IF(B363&lt;=0.005,0,MIN(Inputs!$B$7,B363+C363))</f>
        <v/>
      </c>
      <c r="E363" s="25">
        <f>IF(B363&lt;=0.005,0,IF(A363=$B$4,MIN($B$3,B363-(D363-C363)),0))</f>
        <v/>
      </c>
      <c r="F363" s="25">
        <f>ROUND(B363-(D363-C363)-E363,2)</f>
        <v/>
      </c>
      <c r="H363" t="n">
        <v>178</v>
      </c>
      <c r="I363" s="25">
        <f>M362</f>
        <v/>
      </c>
      <c r="J363" s="25">
        <f>IF(I363&lt;=0.005,0,ROUND(I363*Inputs!$C$8,2))</f>
        <v/>
      </c>
      <c r="K363" s="25">
        <f>IF(I363&lt;=0.005,0,MIN(Inputs!$C$7,I363+J363))</f>
        <v/>
      </c>
      <c r="L363" s="25">
        <f>IF(I363&lt;=0.005,0,IF(H363=$B$4,MIN($B$3,I363-(K363-J363)),0))</f>
        <v/>
      </c>
      <c r="M363" s="25">
        <f>ROUND(I363-(K363-J363)-L363,2)</f>
        <v/>
      </c>
    </row>
    <row r="364">
      <c r="A364" t="n">
        <v>179</v>
      </c>
      <c r="B364" s="25">
        <f>F363</f>
        <v/>
      </c>
      <c r="C364" s="25">
        <f>IF(B364&lt;=0.005,0,ROUND(B364*Inputs!$B$8,2))</f>
        <v/>
      </c>
      <c r="D364" s="25">
        <f>IF(B364&lt;=0.005,0,MIN(Inputs!$B$7,B364+C364))</f>
        <v/>
      </c>
      <c r="E364" s="25">
        <f>IF(B364&lt;=0.005,0,IF(A364=$B$4,MIN($B$3,B364-(D364-C364)),0))</f>
        <v/>
      </c>
      <c r="F364" s="25">
        <f>ROUND(B364-(D364-C364)-E364,2)</f>
        <v/>
      </c>
      <c r="H364" t="n">
        <v>179</v>
      </c>
      <c r="I364" s="25">
        <f>M363</f>
        <v/>
      </c>
      <c r="J364" s="25">
        <f>IF(I364&lt;=0.005,0,ROUND(I364*Inputs!$C$8,2))</f>
        <v/>
      </c>
      <c r="K364" s="25">
        <f>IF(I364&lt;=0.005,0,MIN(Inputs!$C$7,I364+J364))</f>
        <v/>
      </c>
      <c r="L364" s="25">
        <f>IF(I364&lt;=0.005,0,IF(H364=$B$4,MIN($B$3,I364-(K364-J364)),0))</f>
        <v/>
      </c>
      <c r="M364" s="25">
        <f>ROUND(I364-(K364-J364)-L364,2)</f>
        <v/>
      </c>
    </row>
    <row r="365">
      <c r="A365" t="n">
        <v>180</v>
      </c>
      <c r="B365" s="25">
        <f>F364</f>
        <v/>
      </c>
      <c r="C365" s="25">
        <f>IF(B365&lt;=0.005,0,ROUND(B365*Inputs!$B$8,2))</f>
        <v/>
      </c>
      <c r="D365" s="25">
        <f>IF(B365&lt;=0.005,0,MIN(Inputs!$B$7,B365+C365))</f>
        <v/>
      </c>
      <c r="E365" s="25">
        <f>IF(B365&lt;=0.005,0,IF(A365=$B$4,MIN($B$3,B365-(D365-C365)),0))</f>
        <v/>
      </c>
      <c r="F365" s="25">
        <f>ROUND(B365-(D365-C365)-E365,2)</f>
        <v/>
      </c>
      <c r="H365" t="n">
        <v>180</v>
      </c>
      <c r="I365" s="25">
        <f>M364</f>
        <v/>
      </c>
      <c r="J365" s="25">
        <f>IF(I365&lt;=0.005,0,ROUND(I365*Inputs!$C$8,2))</f>
        <v/>
      </c>
      <c r="K365" s="25">
        <f>IF(I365&lt;=0.005,0,MIN(Inputs!$C$7,I365+J365))</f>
        <v/>
      </c>
      <c r="L365" s="25">
        <f>IF(I365&lt;=0.005,0,IF(H365=$B$4,MIN($B$3,I365-(K365-J365)),0))</f>
        <v/>
      </c>
      <c r="M365" s="25">
        <f>ROUND(I365-(K365-J365)-L365,2)</f>
        <v/>
      </c>
    </row>
  </sheetData>
  <mergeCells count="1">
    <mergeCell ref="B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HDFC HOME-LOAN PREPAYMENT RULES (verified June 2026)</t>
        </is>
      </c>
    </row>
    <row r="3">
      <c r="A3" s="10" t="inlineStr">
        <is>
          <t>Rule</t>
        </is>
      </c>
      <c r="B3" s="10" t="inlineStr">
        <is>
          <t>Value / note</t>
        </is>
      </c>
    </row>
    <row r="4">
      <c r="A4" s="2" t="inlineStr">
        <is>
          <t>Prepayment charge (floating)</t>
        </is>
      </c>
      <c r="B4" s="26" t="inlineStr">
        <is>
          <t>NONE. RBI ban from 1 Jan 2026 on floating loans to individuals (non-business) — any amount, any source.</t>
        </is>
      </c>
    </row>
    <row r="5">
      <c r="A5" s="2" t="inlineStr">
        <is>
          <t>Frequency</t>
        </is>
      </c>
      <c r="B5" s="26" t="inlineStr">
        <is>
          <t>Once per calendar month (up to 12x / year).</t>
        </is>
      </c>
    </row>
    <row r="6">
      <c r="A6" s="2" t="inlineStr">
        <is>
          <t>Minimum part payment</t>
        </is>
      </c>
      <c r="B6" s="26" t="inlineStr">
        <is>
          <t>Rs 5,000 or 1 EMI, whichever is HIGHER.</t>
        </is>
      </c>
    </row>
    <row r="7">
      <c r="A7" s="2" t="inlineStr">
        <is>
          <t>Maximum part payment</t>
        </is>
      </c>
      <c r="B7" s="26" t="inlineStr">
        <is>
          <t>Rs 50 lakh/month OR 75% of year-opening principal, whichever is LOWER.</t>
        </is>
      </c>
    </row>
    <row r="8">
      <c r="A8" s="2" t="inlineStr">
        <is>
          <t>Timing</t>
        </is>
      </c>
      <c r="B8" s="26" t="inlineStr">
        <is>
          <t>Allowed only after 1 month of EMI commencement (not in month 1).</t>
        </is>
      </c>
    </row>
    <row r="9">
      <c r="A9" s="2" t="inlineStr">
        <is>
          <t>Source of funds</t>
        </is>
      </c>
      <c r="B9" s="26" t="inlineStr">
        <is>
          <t>From the repayment-tagged bank account (or branch visit).</t>
        </is>
      </c>
    </row>
    <row r="10">
      <c r="A10" s="2" t="inlineStr">
        <is>
          <t>Default after prepay</t>
        </is>
      </c>
      <c r="B10" s="26" t="inlineStr">
        <is>
          <t>Tenure reduction (EMI fixed, loan shortens) — used by this model.</t>
        </is>
      </c>
    </row>
    <row r="12">
      <c r="A12" s="9" t="inlineStr">
        <is>
          <t>Sources: HDFC FAQ (homeloans.hdfc.bank.in/checklist/faqs), HDFC prepayment page, RBI 2026 directive. Note: 'Max' check uses the prepay-month opening balance as a proxy for year-opening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2026-06-11T10:45:22Z</dcterms:created>
  <dcterms:modified xmlns:dcterms="http://purl.org/dc/terms/" xmlns:xsi="http://www.w3.org/2001/XMLSchema-instance" xsi:type="dcterms:W3CDTF">2026-06-11T10:45:23Z</dcterms:modified>
</cp:coreProperties>
</file>